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w30071610\Desktop\repository\skills\.opencode\skills\huawei-cloud-ces-alarm-bind-inspection\assets\"/>
    </mc:Choice>
  </mc:AlternateContent>
  <xr:revisionPtr revIDLastSave="0" documentId="13_ncr:1_{29D5057D-97F7-458C-8D7B-3E7C123DA71E}" xr6:coauthVersionLast="47" xr6:coauthVersionMax="47" xr10:uidLastSave="{00000000-0000-0000-0000-000000000000}"/>
  <bookViews>
    <workbookView xWindow="6525" yWindow="-20070" windowWidth="25860" windowHeight="18225" activeTab="4" xr2:uid="{00000000-000D-0000-FFFF-FFFF00000000}"/>
  </bookViews>
  <sheets>
    <sheet name="CES指标基线" sheetId="1" r:id="rId1"/>
    <sheet name="CES事件基线" sheetId="2" r:id="rId2"/>
    <sheet name="AOM指标基线-CCE" sheetId="3" r:id="rId3"/>
    <sheet name="AOM指标基线-其他服务" sheetId="4" r:id="rId4"/>
    <sheet name="AOM-Modelarts事件" sheetId="5" r:id="rId5"/>
    <sheet name="AOM事件基线-其他服务" sheetId="6" r:id="rId6"/>
  </sheets>
  <definedNames>
    <definedName name="_xlnm._FilterDatabase" localSheetId="4" hidden="1">'AOM-Modelarts事件'!$A$1:$O$13</definedName>
    <definedName name="_xlnm._FilterDatabase" localSheetId="5" hidden="1">'AOM事件基线-其他服务'!$A$1:$M$16</definedName>
    <definedName name="_xlnm._FilterDatabase" localSheetId="3" hidden="1">'AOM指标基线-其他服务'!$A$1:$V$37</definedName>
    <definedName name="_xlnm._FilterDatabase" localSheetId="1" hidden="1">CES事件基线!$A$1:$V$259</definedName>
    <definedName name="_xlnm._FilterDatabase" localSheetId="0" hidden="1">CES指标基线!$A$1:$AL$524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24" i="1" l="1"/>
  <c r="Y524" i="1" s="1"/>
  <c r="A524" i="1"/>
  <c r="X523" i="1"/>
  <c r="Y523" i="1" s="1"/>
  <c r="A523" i="1"/>
  <c r="X522" i="1"/>
  <c r="Y522" i="1" s="1"/>
  <c r="A522" i="1"/>
  <c r="X521" i="1"/>
  <c r="Y521" i="1" s="1"/>
  <c r="A521" i="1"/>
  <c r="X520" i="1"/>
  <c r="Y520" i="1" s="1"/>
  <c r="A520" i="1"/>
  <c r="X519" i="1"/>
  <c r="Y519" i="1" s="1"/>
  <c r="A519" i="1"/>
  <c r="X518" i="1"/>
  <c r="Y518" i="1" s="1"/>
  <c r="A518" i="1"/>
  <c r="X517" i="1"/>
  <c r="Y517" i="1" s="1"/>
  <c r="A517" i="1"/>
  <c r="X516" i="1"/>
  <c r="Y516" i="1" s="1"/>
  <c r="A516" i="1"/>
  <c r="X515" i="1"/>
  <c r="Y515" i="1" s="1"/>
  <c r="A515" i="1"/>
  <c r="X514" i="1"/>
  <c r="Y514" i="1" s="1"/>
  <c r="A514" i="1"/>
  <c r="X513" i="1"/>
  <c r="Y513" i="1" s="1"/>
  <c r="A513" i="1"/>
  <c r="X512" i="1"/>
  <c r="Y512" i="1" s="1"/>
  <c r="A512" i="1"/>
  <c r="X511" i="1"/>
  <c r="Y511" i="1" s="1"/>
  <c r="A511" i="1"/>
  <c r="X510" i="1"/>
  <c r="Y510" i="1" s="1"/>
  <c r="A510" i="1"/>
  <c r="X509" i="1"/>
  <c r="Y509" i="1" s="1"/>
  <c r="A509" i="1"/>
  <c r="X508" i="1"/>
  <c r="Y508" i="1" s="1"/>
  <c r="A508" i="1"/>
  <c r="X507" i="1"/>
  <c r="Y507" i="1" s="1"/>
  <c r="A507" i="1"/>
  <c r="X506" i="1"/>
  <c r="Y506" i="1" s="1"/>
  <c r="A506" i="1"/>
  <c r="X505" i="1"/>
  <c r="Y505" i="1" s="1"/>
  <c r="A505" i="1"/>
  <c r="X504" i="1"/>
  <c r="Y504" i="1" s="1"/>
  <c r="A504" i="1"/>
  <c r="X503" i="1"/>
  <c r="Y503" i="1" s="1"/>
  <c r="A503" i="1"/>
  <c r="X502" i="1"/>
  <c r="Y502" i="1" s="1"/>
  <c r="A502" i="1"/>
  <c r="X501" i="1"/>
  <c r="Y501" i="1" s="1"/>
  <c r="A501" i="1"/>
  <c r="X500" i="1"/>
  <c r="Y500" i="1" s="1"/>
  <c r="A500" i="1"/>
  <c r="X499" i="1"/>
  <c r="Y499" i="1" s="1"/>
  <c r="A499" i="1"/>
  <c r="X498" i="1"/>
  <c r="Y498" i="1" s="1"/>
  <c r="A498" i="1"/>
  <c r="X497" i="1"/>
  <c r="Y497" i="1" s="1"/>
  <c r="A497" i="1"/>
  <c r="X496" i="1"/>
  <c r="Y496" i="1" s="1"/>
  <c r="A496" i="1"/>
  <c r="X495" i="1"/>
  <c r="Y495" i="1" s="1"/>
  <c r="A495" i="1"/>
  <c r="X494" i="1"/>
  <c r="Y494" i="1" s="1"/>
  <c r="A494" i="1"/>
  <c r="X493" i="1"/>
  <c r="Y493" i="1" s="1"/>
  <c r="A493" i="1"/>
  <c r="X492" i="1"/>
  <c r="Y492" i="1" s="1"/>
  <c r="A492" i="1"/>
  <c r="X491" i="1"/>
  <c r="Y491" i="1" s="1"/>
  <c r="A491" i="1"/>
  <c r="X490" i="1"/>
  <c r="Y490" i="1" s="1"/>
  <c r="A490" i="1"/>
  <c r="X489" i="1"/>
  <c r="Y489" i="1" s="1"/>
  <c r="A489" i="1"/>
  <c r="X488" i="1"/>
  <c r="Y488" i="1" s="1"/>
  <c r="A488" i="1"/>
  <c r="X487" i="1"/>
  <c r="Y487" i="1" s="1"/>
  <c r="A487" i="1"/>
  <c r="X486" i="1"/>
  <c r="Y486" i="1" s="1"/>
  <c r="A486" i="1"/>
  <c r="X485" i="1"/>
  <c r="Y485" i="1" s="1"/>
  <c r="A485" i="1"/>
  <c r="X484" i="1"/>
  <c r="Y484" i="1" s="1"/>
  <c r="A484" i="1"/>
  <c r="X483" i="1"/>
  <c r="Y483" i="1" s="1"/>
  <c r="A483" i="1"/>
  <c r="X482" i="1"/>
  <c r="Y482" i="1" s="1"/>
  <c r="A482" i="1"/>
  <c r="X481" i="1"/>
  <c r="Y481" i="1" s="1"/>
  <c r="A481" i="1"/>
  <c r="X480" i="1"/>
  <c r="Y480" i="1" s="1"/>
  <c r="A480" i="1"/>
  <c r="X479" i="1"/>
  <c r="Y479" i="1" s="1"/>
  <c r="A479" i="1"/>
  <c r="X478" i="1"/>
  <c r="Y478" i="1" s="1"/>
  <c r="A478" i="1"/>
  <c r="X477" i="1"/>
  <c r="Y477" i="1" s="1"/>
  <c r="A477" i="1"/>
  <c r="X476" i="1"/>
  <c r="Y476" i="1" s="1"/>
  <c r="A476" i="1"/>
  <c r="X475" i="1"/>
  <c r="Y475" i="1" s="1"/>
  <c r="A475" i="1"/>
  <c r="X474" i="1"/>
  <c r="Y474" i="1" s="1"/>
  <c r="A474" i="1"/>
  <c r="X473" i="1"/>
  <c r="Y473" i="1" s="1"/>
  <c r="A473" i="1"/>
  <c r="AJ472" i="1"/>
  <c r="X472" i="1"/>
  <c r="Y472" i="1" s="1"/>
  <c r="A472" i="1"/>
  <c r="AJ471" i="1"/>
  <c r="X471" i="1"/>
  <c r="Y471" i="1" s="1"/>
  <c r="A471" i="1"/>
  <c r="AJ470" i="1"/>
  <c r="X470" i="1"/>
  <c r="Y470" i="1" s="1"/>
  <c r="A470" i="1"/>
  <c r="AJ469" i="1"/>
  <c r="X469" i="1"/>
  <c r="Y469" i="1" s="1"/>
  <c r="A469" i="1"/>
  <c r="AJ468" i="1"/>
  <c r="X468" i="1"/>
  <c r="Y468" i="1" s="1"/>
  <c r="A468" i="1"/>
  <c r="AJ467" i="1"/>
  <c r="X467" i="1"/>
  <c r="Y467" i="1" s="1"/>
  <c r="A467" i="1"/>
  <c r="AJ466" i="1"/>
  <c r="X466" i="1"/>
  <c r="Y466" i="1" s="1"/>
  <c r="A466" i="1"/>
  <c r="AJ465" i="1"/>
  <c r="X465" i="1"/>
  <c r="Y465" i="1" s="1"/>
  <c r="A465" i="1"/>
  <c r="AJ464" i="1"/>
  <c r="X464" i="1"/>
  <c r="Y464" i="1" s="1"/>
  <c r="A464" i="1"/>
  <c r="AJ463" i="1"/>
  <c r="X463" i="1"/>
  <c r="Y463" i="1" s="1"/>
  <c r="A463" i="1"/>
  <c r="AJ462" i="1"/>
  <c r="X462" i="1"/>
  <c r="Y462" i="1" s="1"/>
  <c r="A462" i="1"/>
  <c r="AJ461" i="1"/>
  <c r="X461" i="1"/>
  <c r="Y461" i="1" s="1"/>
  <c r="A461" i="1"/>
  <c r="AJ460" i="1"/>
  <c r="X460" i="1"/>
  <c r="Y460" i="1" s="1"/>
  <c r="A460" i="1"/>
  <c r="AJ459" i="1"/>
  <c r="X459" i="1"/>
  <c r="Y459" i="1" s="1"/>
  <c r="A459" i="1"/>
  <c r="AJ458" i="1"/>
  <c r="X458" i="1"/>
  <c r="Y458" i="1" s="1"/>
  <c r="A458" i="1"/>
  <c r="AJ457" i="1"/>
  <c r="X457" i="1"/>
  <c r="Y457" i="1" s="1"/>
  <c r="A457" i="1"/>
  <c r="AJ456" i="1"/>
  <c r="X456" i="1"/>
  <c r="Y456" i="1" s="1"/>
  <c r="A456" i="1"/>
  <c r="AJ455" i="1"/>
  <c r="X455" i="1"/>
  <c r="Y455" i="1" s="1"/>
  <c r="A455" i="1"/>
  <c r="AJ454" i="1"/>
  <c r="X454" i="1"/>
  <c r="Y454" i="1" s="1"/>
  <c r="A454" i="1"/>
  <c r="AJ453" i="1"/>
  <c r="X453" i="1"/>
  <c r="Y453" i="1" s="1"/>
  <c r="A453" i="1"/>
  <c r="AJ452" i="1"/>
  <c r="X452" i="1"/>
  <c r="Y452" i="1" s="1"/>
  <c r="A452" i="1"/>
  <c r="AJ451" i="1"/>
  <c r="X451" i="1"/>
  <c r="Y451" i="1" s="1"/>
  <c r="A451" i="1"/>
  <c r="AJ450" i="1"/>
  <c r="X450" i="1"/>
  <c r="Y450" i="1" s="1"/>
  <c r="A450" i="1"/>
  <c r="AJ449" i="1"/>
  <c r="X449" i="1"/>
  <c r="Y449" i="1" s="1"/>
  <c r="A449" i="1"/>
  <c r="AJ448" i="1"/>
  <c r="X448" i="1"/>
  <c r="Y448" i="1" s="1"/>
  <c r="A448" i="1"/>
  <c r="AJ447" i="1"/>
  <c r="X447" i="1"/>
  <c r="Y447" i="1" s="1"/>
  <c r="A447" i="1"/>
  <c r="AJ446" i="1"/>
  <c r="X446" i="1"/>
  <c r="Y446" i="1" s="1"/>
  <c r="A446" i="1"/>
  <c r="AJ445" i="1"/>
  <c r="X445" i="1"/>
  <c r="Y445" i="1" s="1"/>
  <c r="A445" i="1"/>
  <c r="AJ444" i="1"/>
  <c r="X444" i="1"/>
  <c r="Y444" i="1" s="1"/>
  <c r="A444" i="1"/>
  <c r="AJ443" i="1"/>
  <c r="X443" i="1"/>
  <c r="Y443" i="1" s="1"/>
  <c r="A443" i="1"/>
  <c r="AJ442" i="1"/>
  <c r="X442" i="1"/>
  <c r="Y442" i="1" s="1"/>
  <c r="A442" i="1"/>
  <c r="AJ441" i="1"/>
  <c r="X441" i="1"/>
  <c r="Y441" i="1" s="1"/>
  <c r="A441" i="1"/>
  <c r="AJ440" i="1"/>
  <c r="X440" i="1"/>
  <c r="Y440" i="1" s="1"/>
  <c r="A440" i="1"/>
  <c r="AJ439" i="1"/>
  <c r="X439" i="1"/>
  <c r="Y439" i="1" s="1"/>
  <c r="A439" i="1"/>
  <c r="AJ438" i="1"/>
  <c r="X438" i="1"/>
  <c r="Y438" i="1" s="1"/>
  <c r="A438" i="1"/>
  <c r="AJ437" i="1"/>
  <c r="X437" i="1"/>
  <c r="Y437" i="1" s="1"/>
  <c r="A437" i="1"/>
  <c r="AJ436" i="1"/>
  <c r="X436" i="1"/>
  <c r="Y436" i="1" s="1"/>
  <c r="A436" i="1"/>
  <c r="AJ435" i="1"/>
  <c r="X435" i="1"/>
  <c r="Y435" i="1" s="1"/>
  <c r="A435" i="1"/>
  <c r="AJ434" i="1"/>
  <c r="X434" i="1"/>
  <c r="Y434" i="1" s="1"/>
  <c r="A434" i="1"/>
  <c r="AJ433" i="1"/>
  <c r="X433" i="1"/>
  <c r="Y433" i="1" s="1"/>
  <c r="A433" i="1"/>
  <c r="AJ432" i="1"/>
  <c r="X432" i="1"/>
  <c r="Y432" i="1" s="1"/>
  <c r="A432" i="1"/>
  <c r="AJ431" i="1"/>
  <c r="X431" i="1"/>
  <c r="Y431" i="1" s="1"/>
  <c r="A431" i="1"/>
  <c r="AJ430" i="1"/>
  <c r="X430" i="1"/>
  <c r="Y430" i="1" s="1"/>
  <c r="A430" i="1"/>
  <c r="AJ429" i="1"/>
  <c r="X429" i="1"/>
  <c r="Y429" i="1" s="1"/>
  <c r="A429" i="1"/>
  <c r="AJ428" i="1"/>
  <c r="X428" i="1"/>
  <c r="Y428" i="1" s="1"/>
  <c r="A428" i="1"/>
  <c r="AJ427" i="1"/>
  <c r="X427" i="1"/>
  <c r="Y427" i="1" s="1"/>
  <c r="A427" i="1"/>
  <c r="AJ426" i="1"/>
  <c r="X426" i="1"/>
  <c r="Y426" i="1" s="1"/>
  <c r="A426" i="1"/>
  <c r="AJ425" i="1"/>
  <c r="X425" i="1"/>
  <c r="Y425" i="1" s="1"/>
  <c r="A425" i="1"/>
  <c r="AJ424" i="1"/>
  <c r="X424" i="1"/>
  <c r="Y424" i="1" s="1"/>
  <c r="A424" i="1"/>
  <c r="AJ423" i="1"/>
  <c r="X423" i="1"/>
  <c r="Y423" i="1" s="1"/>
  <c r="A423" i="1"/>
  <c r="AJ422" i="1"/>
  <c r="X422" i="1"/>
  <c r="Y422" i="1" s="1"/>
  <c r="A422" i="1"/>
  <c r="AJ421" i="1"/>
  <c r="X421" i="1"/>
  <c r="Y421" i="1" s="1"/>
  <c r="A421" i="1"/>
  <c r="AJ420" i="1"/>
  <c r="X420" i="1"/>
  <c r="Y420" i="1" s="1"/>
  <c r="A420" i="1"/>
  <c r="AJ419" i="1"/>
  <c r="X419" i="1"/>
  <c r="Y419" i="1" s="1"/>
  <c r="A419" i="1"/>
  <c r="AJ418" i="1"/>
  <c r="X418" i="1"/>
  <c r="Y418" i="1" s="1"/>
  <c r="A418" i="1"/>
  <c r="AJ417" i="1"/>
  <c r="X417" i="1"/>
  <c r="Y417" i="1" s="1"/>
  <c r="A417" i="1"/>
  <c r="AJ416" i="1"/>
  <c r="X416" i="1"/>
  <c r="Y416" i="1" s="1"/>
  <c r="A416" i="1"/>
  <c r="AJ415" i="1"/>
  <c r="X415" i="1"/>
  <c r="Y415" i="1" s="1"/>
  <c r="A415" i="1"/>
  <c r="AJ414" i="1"/>
  <c r="X414" i="1"/>
  <c r="Y414" i="1" s="1"/>
  <c r="A414" i="1"/>
  <c r="AJ413" i="1"/>
  <c r="X413" i="1"/>
  <c r="Y413" i="1" s="1"/>
  <c r="A413" i="1"/>
  <c r="AJ412" i="1"/>
  <c r="X412" i="1"/>
  <c r="Y412" i="1" s="1"/>
  <c r="A412" i="1"/>
  <c r="AJ411" i="1"/>
  <c r="X411" i="1"/>
  <c r="Y411" i="1" s="1"/>
  <c r="A411" i="1"/>
  <c r="AJ410" i="1"/>
  <c r="X410" i="1"/>
  <c r="Y410" i="1" s="1"/>
  <c r="A410" i="1"/>
  <c r="AJ409" i="1"/>
  <c r="X409" i="1"/>
  <c r="Y409" i="1" s="1"/>
  <c r="A409" i="1"/>
  <c r="AJ408" i="1"/>
  <c r="X408" i="1"/>
  <c r="Y408" i="1" s="1"/>
  <c r="A408" i="1"/>
  <c r="AJ407" i="1"/>
  <c r="X407" i="1"/>
  <c r="Y407" i="1" s="1"/>
  <c r="A407" i="1"/>
  <c r="AJ406" i="1"/>
  <c r="X406" i="1"/>
  <c r="Y406" i="1" s="1"/>
  <c r="A406" i="1"/>
  <c r="AJ405" i="1"/>
  <c r="X405" i="1"/>
  <c r="Y405" i="1" s="1"/>
  <c r="A405" i="1"/>
  <c r="AJ404" i="1"/>
  <c r="X404" i="1"/>
  <c r="Y404" i="1" s="1"/>
  <c r="A404" i="1"/>
  <c r="AJ403" i="1"/>
  <c r="X403" i="1"/>
  <c r="Y403" i="1" s="1"/>
  <c r="A403" i="1"/>
  <c r="AJ402" i="1"/>
  <c r="X402" i="1"/>
  <c r="Y402" i="1" s="1"/>
  <c r="A402" i="1"/>
  <c r="AJ401" i="1"/>
  <c r="X401" i="1"/>
  <c r="Y401" i="1" s="1"/>
  <c r="A401" i="1"/>
  <c r="AJ400" i="1"/>
  <c r="X400" i="1"/>
  <c r="Y400" i="1" s="1"/>
  <c r="A400" i="1"/>
  <c r="AJ399" i="1"/>
  <c r="X399" i="1"/>
  <c r="Y399" i="1" s="1"/>
  <c r="A399" i="1"/>
  <c r="AJ398" i="1"/>
  <c r="X398" i="1"/>
  <c r="Y398" i="1" s="1"/>
  <c r="A398" i="1"/>
  <c r="AJ397" i="1"/>
  <c r="X397" i="1"/>
  <c r="Y397" i="1" s="1"/>
  <c r="A397" i="1"/>
  <c r="AJ396" i="1"/>
  <c r="X396" i="1"/>
  <c r="Y396" i="1" s="1"/>
  <c r="A396" i="1"/>
  <c r="AJ395" i="1"/>
  <c r="X395" i="1"/>
  <c r="Y395" i="1" s="1"/>
  <c r="A395" i="1"/>
  <c r="AJ394" i="1"/>
  <c r="X394" i="1"/>
  <c r="Y394" i="1" s="1"/>
  <c r="A394" i="1"/>
  <c r="AJ393" i="1"/>
  <c r="X393" i="1"/>
  <c r="Y393" i="1" s="1"/>
  <c r="A393" i="1"/>
  <c r="AJ392" i="1"/>
  <c r="X392" i="1"/>
  <c r="Y392" i="1" s="1"/>
  <c r="A392" i="1"/>
  <c r="AJ391" i="1"/>
  <c r="X391" i="1"/>
  <c r="Y391" i="1" s="1"/>
  <c r="A391" i="1"/>
  <c r="AJ390" i="1"/>
  <c r="X390" i="1"/>
  <c r="Y390" i="1" s="1"/>
  <c r="A390" i="1"/>
  <c r="AJ389" i="1"/>
  <c r="X389" i="1"/>
  <c r="Y389" i="1" s="1"/>
  <c r="A389" i="1"/>
  <c r="AJ388" i="1"/>
  <c r="X388" i="1"/>
  <c r="Y388" i="1" s="1"/>
  <c r="A388" i="1"/>
  <c r="AJ387" i="1"/>
  <c r="X387" i="1"/>
  <c r="Y387" i="1" s="1"/>
  <c r="A387" i="1"/>
  <c r="AJ386" i="1"/>
  <c r="X386" i="1"/>
  <c r="Y386" i="1" s="1"/>
  <c r="A386" i="1"/>
  <c r="AJ385" i="1"/>
  <c r="X385" i="1"/>
  <c r="Y385" i="1" s="1"/>
  <c r="A385" i="1"/>
  <c r="AJ384" i="1"/>
  <c r="X384" i="1"/>
  <c r="Y384" i="1" s="1"/>
  <c r="A384" i="1"/>
  <c r="AJ383" i="1"/>
  <c r="X383" i="1"/>
  <c r="Y383" i="1" s="1"/>
  <c r="A383" i="1"/>
  <c r="AJ382" i="1"/>
  <c r="X382" i="1"/>
  <c r="Y382" i="1" s="1"/>
  <c r="A382" i="1"/>
  <c r="AJ381" i="1"/>
  <c r="X381" i="1"/>
  <c r="Y381" i="1" s="1"/>
  <c r="A381" i="1"/>
  <c r="AJ380" i="1"/>
  <c r="X380" i="1"/>
  <c r="Y380" i="1" s="1"/>
  <c r="A380" i="1"/>
  <c r="AJ379" i="1"/>
  <c r="X379" i="1"/>
  <c r="Y379" i="1" s="1"/>
  <c r="A379" i="1"/>
  <c r="AJ378" i="1"/>
  <c r="X378" i="1"/>
  <c r="Y378" i="1" s="1"/>
  <c r="A378" i="1"/>
  <c r="AJ377" i="1"/>
  <c r="X377" i="1"/>
  <c r="Y377" i="1" s="1"/>
  <c r="A377" i="1"/>
  <c r="AJ376" i="1"/>
  <c r="X376" i="1"/>
  <c r="Y376" i="1" s="1"/>
  <c r="A376" i="1"/>
  <c r="AJ375" i="1"/>
  <c r="X375" i="1"/>
  <c r="Y375" i="1" s="1"/>
  <c r="A375" i="1"/>
  <c r="AJ374" i="1"/>
  <c r="X374" i="1"/>
  <c r="Y374" i="1" s="1"/>
  <c r="A374" i="1"/>
  <c r="AJ373" i="1"/>
  <c r="X373" i="1"/>
  <c r="Y373" i="1" s="1"/>
  <c r="A373" i="1"/>
  <c r="AJ372" i="1"/>
  <c r="X372" i="1"/>
  <c r="Y372" i="1" s="1"/>
  <c r="A372" i="1"/>
  <c r="AJ371" i="1"/>
  <c r="X371" i="1"/>
  <c r="Y371" i="1" s="1"/>
  <c r="A371" i="1"/>
  <c r="AJ370" i="1"/>
  <c r="X370" i="1"/>
  <c r="Y370" i="1" s="1"/>
  <c r="A370" i="1"/>
  <c r="AJ369" i="1"/>
  <c r="X369" i="1"/>
  <c r="Y369" i="1" s="1"/>
  <c r="A369" i="1"/>
  <c r="AJ368" i="1"/>
  <c r="X368" i="1"/>
  <c r="Y368" i="1" s="1"/>
  <c r="A368" i="1"/>
  <c r="AJ367" i="1"/>
  <c r="X367" i="1"/>
  <c r="Y367" i="1" s="1"/>
  <c r="A367" i="1"/>
  <c r="AJ366" i="1"/>
  <c r="X366" i="1"/>
  <c r="Y366" i="1" s="1"/>
  <c r="A366" i="1"/>
  <c r="AJ365" i="1"/>
  <c r="X365" i="1"/>
  <c r="Y365" i="1" s="1"/>
  <c r="A365" i="1"/>
  <c r="AJ364" i="1"/>
  <c r="X364" i="1"/>
  <c r="Y364" i="1" s="1"/>
  <c r="A364" i="1"/>
  <c r="AJ363" i="1"/>
  <c r="X363" i="1"/>
  <c r="Y363" i="1" s="1"/>
  <c r="A363" i="1"/>
  <c r="AJ362" i="1"/>
  <c r="X362" i="1"/>
  <c r="Y362" i="1" s="1"/>
  <c r="A362" i="1"/>
  <c r="AJ361" i="1"/>
  <c r="X361" i="1"/>
  <c r="Y361" i="1" s="1"/>
  <c r="A361" i="1"/>
  <c r="AJ360" i="1"/>
  <c r="X360" i="1"/>
  <c r="Y360" i="1" s="1"/>
  <c r="A360" i="1"/>
  <c r="AJ359" i="1"/>
  <c r="X359" i="1"/>
  <c r="Y359" i="1" s="1"/>
  <c r="A359" i="1"/>
  <c r="AJ358" i="1"/>
  <c r="X358" i="1"/>
  <c r="Y358" i="1" s="1"/>
  <c r="A358" i="1"/>
  <c r="AJ357" i="1"/>
  <c r="X357" i="1"/>
  <c r="Y357" i="1" s="1"/>
  <c r="A357" i="1"/>
  <c r="AJ356" i="1"/>
  <c r="X356" i="1"/>
  <c r="Y356" i="1" s="1"/>
  <c r="A356" i="1"/>
  <c r="AJ355" i="1"/>
  <c r="X355" i="1"/>
  <c r="Y355" i="1" s="1"/>
  <c r="A355" i="1"/>
  <c r="AJ354" i="1"/>
  <c r="X354" i="1"/>
  <c r="Y354" i="1" s="1"/>
  <c r="A354" i="1"/>
  <c r="AJ353" i="1"/>
  <c r="X353" i="1"/>
  <c r="Y353" i="1" s="1"/>
  <c r="A353" i="1"/>
  <c r="AJ352" i="1"/>
  <c r="X352" i="1"/>
  <c r="Y352" i="1" s="1"/>
  <c r="A352" i="1"/>
  <c r="AJ351" i="1"/>
  <c r="X351" i="1"/>
  <c r="Y351" i="1" s="1"/>
  <c r="A351" i="1"/>
  <c r="AJ350" i="1"/>
  <c r="X350" i="1"/>
  <c r="Y350" i="1" s="1"/>
  <c r="A350" i="1"/>
  <c r="AJ349" i="1"/>
  <c r="X349" i="1"/>
  <c r="Y349" i="1" s="1"/>
  <c r="A349" i="1"/>
  <c r="AJ348" i="1"/>
  <c r="X348" i="1"/>
  <c r="Y348" i="1" s="1"/>
  <c r="A348" i="1"/>
  <c r="AJ347" i="1"/>
  <c r="X347" i="1"/>
  <c r="Y347" i="1" s="1"/>
  <c r="A347" i="1"/>
  <c r="AJ346" i="1"/>
  <c r="X346" i="1"/>
  <c r="Y346" i="1" s="1"/>
  <c r="A346" i="1"/>
  <c r="AJ345" i="1"/>
  <c r="X345" i="1"/>
  <c r="Y345" i="1" s="1"/>
  <c r="A345" i="1"/>
  <c r="AJ344" i="1"/>
  <c r="X344" i="1"/>
  <c r="Y344" i="1" s="1"/>
  <c r="A344" i="1"/>
  <c r="AJ343" i="1"/>
  <c r="X343" i="1"/>
  <c r="Y343" i="1" s="1"/>
  <c r="A343" i="1"/>
  <c r="AJ342" i="1"/>
  <c r="X342" i="1"/>
  <c r="Y342" i="1" s="1"/>
  <c r="A342" i="1"/>
  <c r="AJ341" i="1"/>
  <c r="X341" i="1"/>
  <c r="Y341" i="1" s="1"/>
  <c r="A341" i="1"/>
  <c r="AJ340" i="1"/>
  <c r="X340" i="1"/>
  <c r="Y340" i="1" s="1"/>
  <c r="A340" i="1"/>
  <c r="AJ339" i="1"/>
  <c r="X339" i="1"/>
  <c r="Y339" i="1" s="1"/>
  <c r="A339" i="1"/>
  <c r="AJ338" i="1"/>
  <c r="X338" i="1"/>
  <c r="Y338" i="1" s="1"/>
  <c r="A338" i="1"/>
  <c r="AJ337" i="1"/>
  <c r="X337" i="1"/>
  <c r="Y337" i="1" s="1"/>
  <c r="A337" i="1"/>
  <c r="AJ336" i="1"/>
  <c r="X336" i="1"/>
  <c r="Y336" i="1" s="1"/>
  <c r="A336" i="1"/>
  <c r="AJ335" i="1"/>
  <c r="X335" i="1"/>
  <c r="Y335" i="1" s="1"/>
  <c r="A335" i="1"/>
  <c r="AJ334" i="1"/>
  <c r="X334" i="1"/>
  <c r="Y334" i="1" s="1"/>
  <c r="A334" i="1"/>
  <c r="AJ333" i="1"/>
  <c r="X333" i="1"/>
  <c r="Y333" i="1" s="1"/>
  <c r="A333" i="1"/>
  <c r="AJ332" i="1"/>
  <c r="X332" i="1"/>
  <c r="Y332" i="1" s="1"/>
  <c r="A332" i="1"/>
  <c r="AJ331" i="1"/>
  <c r="X331" i="1"/>
  <c r="Y331" i="1" s="1"/>
  <c r="A331" i="1"/>
  <c r="AJ330" i="1"/>
  <c r="X330" i="1"/>
  <c r="Y330" i="1" s="1"/>
  <c r="A330" i="1"/>
  <c r="AJ329" i="1"/>
  <c r="X329" i="1"/>
  <c r="Y329" i="1" s="1"/>
  <c r="A329" i="1"/>
  <c r="AJ328" i="1"/>
  <c r="X328" i="1"/>
  <c r="Y328" i="1" s="1"/>
  <c r="A328" i="1"/>
  <c r="AJ327" i="1"/>
  <c r="X327" i="1"/>
  <c r="Y327" i="1" s="1"/>
  <c r="A327" i="1"/>
  <c r="AJ326" i="1"/>
  <c r="X326" i="1"/>
  <c r="Y326" i="1" s="1"/>
  <c r="A326" i="1"/>
  <c r="AJ325" i="1"/>
  <c r="X325" i="1"/>
  <c r="Y325" i="1" s="1"/>
  <c r="A325" i="1"/>
  <c r="AJ324" i="1"/>
  <c r="X324" i="1"/>
  <c r="Y324" i="1" s="1"/>
  <c r="A324" i="1"/>
  <c r="AJ323" i="1"/>
  <c r="X323" i="1"/>
  <c r="Y323" i="1" s="1"/>
  <c r="A323" i="1"/>
  <c r="AJ322" i="1"/>
  <c r="X322" i="1"/>
  <c r="Y322" i="1" s="1"/>
  <c r="A322" i="1"/>
  <c r="AJ321" i="1"/>
  <c r="X321" i="1"/>
  <c r="Y321" i="1" s="1"/>
  <c r="A321" i="1"/>
  <c r="AJ320" i="1"/>
  <c r="X320" i="1"/>
  <c r="Y320" i="1" s="1"/>
  <c r="A320" i="1"/>
  <c r="AJ319" i="1"/>
  <c r="X319" i="1"/>
  <c r="Y319" i="1" s="1"/>
  <c r="A319" i="1"/>
  <c r="AJ318" i="1"/>
  <c r="X318" i="1"/>
  <c r="Y318" i="1" s="1"/>
  <c r="A318" i="1"/>
  <c r="AJ317" i="1"/>
  <c r="X317" i="1"/>
  <c r="Y317" i="1" s="1"/>
  <c r="A317" i="1"/>
  <c r="AJ316" i="1"/>
  <c r="X316" i="1"/>
  <c r="Y316" i="1" s="1"/>
  <c r="A316" i="1"/>
  <c r="AJ315" i="1"/>
  <c r="X315" i="1"/>
  <c r="Y315" i="1" s="1"/>
  <c r="A315" i="1"/>
  <c r="AJ314" i="1"/>
  <c r="X314" i="1"/>
  <c r="Y314" i="1" s="1"/>
  <c r="A314" i="1"/>
  <c r="AJ313" i="1"/>
  <c r="X313" i="1"/>
  <c r="Y313" i="1" s="1"/>
  <c r="A313" i="1"/>
  <c r="AJ312" i="1"/>
  <c r="X312" i="1"/>
  <c r="Y312" i="1" s="1"/>
  <c r="A312" i="1"/>
  <c r="AJ311" i="1"/>
  <c r="X311" i="1"/>
  <c r="Y311" i="1" s="1"/>
  <c r="A311" i="1"/>
  <c r="AJ310" i="1"/>
  <c r="X310" i="1"/>
  <c r="Y310" i="1" s="1"/>
  <c r="A310" i="1"/>
  <c r="AJ309" i="1"/>
  <c r="X309" i="1"/>
  <c r="Y309" i="1" s="1"/>
  <c r="A309" i="1"/>
  <c r="AJ308" i="1"/>
  <c r="X308" i="1"/>
  <c r="Y308" i="1" s="1"/>
  <c r="A308" i="1"/>
  <c r="AJ307" i="1"/>
  <c r="X307" i="1"/>
  <c r="Y307" i="1" s="1"/>
  <c r="A307" i="1"/>
  <c r="AJ306" i="1"/>
  <c r="X306" i="1"/>
  <c r="Y306" i="1" s="1"/>
  <c r="A306" i="1"/>
  <c r="AJ305" i="1"/>
  <c r="X305" i="1"/>
  <c r="Y305" i="1" s="1"/>
  <c r="A305" i="1"/>
  <c r="AJ304" i="1"/>
  <c r="X304" i="1"/>
  <c r="Y304" i="1" s="1"/>
  <c r="A304" i="1"/>
  <c r="AJ303" i="1"/>
  <c r="X303" i="1"/>
  <c r="Y303" i="1" s="1"/>
  <c r="A303" i="1"/>
  <c r="AJ302" i="1"/>
  <c r="X302" i="1"/>
  <c r="Y302" i="1" s="1"/>
  <c r="A302" i="1"/>
  <c r="AJ301" i="1"/>
  <c r="X301" i="1"/>
  <c r="Y301" i="1" s="1"/>
  <c r="A301" i="1"/>
  <c r="AJ300" i="1"/>
  <c r="X300" i="1"/>
  <c r="Y300" i="1" s="1"/>
  <c r="A300" i="1"/>
  <c r="AJ299" i="1"/>
  <c r="X299" i="1"/>
  <c r="Y299" i="1" s="1"/>
  <c r="A299" i="1"/>
  <c r="AJ298" i="1"/>
  <c r="X298" i="1"/>
  <c r="Y298" i="1" s="1"/>
  <c r="A298" i="1"/>
  <c r="AJ297" i="1"/>
  <c r="X297" i="1"/>
  <c r="Y297" i="1" s="1"/>
  <c r="A297" i="1"/>
  <c r="AJ296" i="1"/>
  <c r="X296" i="1"/>
  <c r="Y296" i="1" s="1"/>
  <c r="A296" i="1"/>
  <c r="AJ295" i="1"/>
  <c r="X295" i="1"/>
  <c r="Y295" i="1" s="1"/>
  <c r="A295" i="1"/>
  <c r="AJ294" i="1"/>
  <c r="X294" i="1"/>
  <c r="Y294" i="1" s="1"/>
  <c r="A294" i="1"/>
  <c r="AJ293" i="1"/>
  <c r="X293" i="1"/>
  <c r="Y293" i="1" s="1"/>
  <c r="A293" i="1"/>
  <c r="AJ292" i="1"/>
  <c r="X292" i="1"/>
  <c r="Y292" i="1" s="1"/>
  <c r="A292" i="1"/>
  <c r="AJ291" i="1"/>
  <c r="X291" i="1"/>
  <c r="Y291" i="1" s="1"/>
  <c r="A291" i="1"/>
  <c r="AJ290" i="1"/>
  <c r="X290" i="1"/>
  <c r="Y290" i="1" s="1"/>
  <c r="A290" i="1"/>
  <c r="AJ289" i="1"/>
  <c r="X289" i="1"/>
  <c r="Y289" i="1" s="1"/>
  <c r="A289" i="1"/>
  <c r="AJ288" i="1"/>
  <c r="X288" i="1"/>
  <c r="Y288" i="1" s="1"/>
  <c r="A288" i="1"/>
  <c r="AJ287" i="1"/>
  <c r="X287" i="1"/>
  <c r="Y287" i="1" s="1"/>
  <c r="A287" i="1"/>
  <c r="AJ286" i="1"/>
  <c r="X286" i="1"/>
  <c r="Y286" i="1" s="1"/>
  <c r="A286" i="1"/>
  <c r="AJ285" i="1"/>
  <c r="X285" i="1"/>
  <c r="Y285" i="1" s="1"/>
  <c r="A285" i="1"/>
  <c r="AJ284" i="1"/>
  <c r="X284" i="1"/>
  <c r="Y284" i="1" s="1"/>
  <c r="A284" i="1"/>
  <c r="AJ283" i="1"/>
  <c r="X283" i="1"/>
  <c r="Y283" i="1" s="1"/>
  <c r="A283" i="1"/>
  <c r="AJ282" i="1"/>
  <c r="X282" i="1"/>
  <c r="Y282" i="1" s="1"/>
  <c r="A282" i="1"/>
  <c r="AJ281" i="1"/>
  <c r="X281" i="1"/>
  <c r="Y281" i="1" s="1"/>
  <c r="A281" i="1"/>
  <c r="AJ280" i="1"/>
  <c r="X280" i="1"/>
  <c r="Y280" i="1" s="1"/>
  <c r="A280" i="1"/>
  <c r="AJ279" i="1"/>
  <c r="X279" i="1"/>
  <c r="Y279" i="1" s="1"/>
  <c r="A279" i="1"/>
  <c r="AJ278" i="1"/>
  <c r="X278" i="1"/>
  <c r="Y278" i="1" s="1"/>
  <c r="A278" i="1"/>
  <c r="AJ277" i="1"/>
  <c r="X277" i="1"/>
  <c r="Y277" i="1" s="1"/>
  <c r="A277" i="1"/>
  <c r="AJ276" i="1"/>
  <c r="X276" i="1"/>
  <c r="Y276" i="1" s="1"/>
  <c r="A276" i="1"/>
  <c r="AJ275" i="1"/>
  <c r="X275" i="1"/>
  <c r="Y275" i="1" s="1"/>
  <c r="A275" i="1"/>
  <c r="AJ274" i="1"/>
  <c r="X274" i="1"/>
  <c r="Y274" i="1" s="1"/>
  <c r="A274" i="1"/>
  <c r="AJ273" i="1"/>
  <c r="X273" i="1"/>
  <c r="Y273" i="1" s="1"/>
  <c r="A273" i="1"/>
  <c r="AJ272" i="1"/>
  <c r="X272" i="1"/>
  <c r="Y272" i="1" s="1"/>
  <c r="A272" i="1"/>
  <c r="AJ271" i="1"/>
  <c r="X271" i="1"/>
  <c r="Y271" i="1" s="1"/>
  <c r="A271" i="1"/>
  <c r="AJ270" i="1"/>
  <c r="X270" i="1"/>
  <c r="Y270" i="1" s="1"/>
  <c r="A270" i="1"/>
  <c r="AJ269" i="1"/>
  <c r="X269" i="1"/>
  <c r="Y269" i="1" s="1"/>
  <c r="A269" i="1"/>
  <c r="AJ268" i="1"/>
  <c r="X268" i="1"/>
  <c r="Y268" i="1" s="1"/>
  <c r="A268" i="1"/>
  <c r="AJ267" i="1"/>
  <c r="X267" i="1"/>
  <c r="Y267" i="1" s="1"/>
  <c r="A267" i="1"/>
  <c r="AJ266" i="1"/>
  <c r="X266" i="1"/>
  <c r="Y266" i="1" s="1"/>
  <c r="A266" i="1"/>
  <c r="AJ265" i="1"/>
  <c r="X265" i="1"/>
  <c r="Y265" i="1" s="1"/>
  <c r="A265" i="1"/>
  <c r="AJ264" i="1"/>
  <c r="X264" i="1"/>
  <c r="Y264" i="1" s="1"/>
  <c r="A264" i="1"/>
  <c r="AJ263" i="1"/>
  <c r="X263" i="1"/>
  <c r="Y263" i="1" s="1"/>
  <c r="A263" i="1"/>
  <c r="AJ262" i="1"/>
  <c r="X262" i="1"/>
  <c r="Y262" i="1" s="1"/>
  <c r="A262" i="1"/>
  <c r="AJ261" i="1"/>
  <c r="X261" i="1"/>
  <c r="Y261" i="1" s="1"/>
  <c r="A261" i="1"/>
  <c r="AJ260" i="1"/>
  <c r="X260" i="1"/>
  <c r="Y260" i="1" s="1"/>
  <c r="A260" i="1"/>
  <c r="AJ259" i="1"/>
  <c r="X259" i="1"/>
  <c r="Y259" i="1" s="1"/>
  <c r="A259" i="1"/>
  <c r="AJ258" i="1"/>
  <c r="X258" i="1"/>
  <c r="Y258" i="1" s="1"/>
  <c r="A258" i="1"/>
  <c r="AJ257" i="1"/>
  <c r="X257" i="1"/>
  <c r="Y257" i="1" s="1"/>
  <c r="A257" i="1"/>
  <c r="AJ256" i="1"/>
  <c r="X256" i="1"/>
  <c r="Y256" i="1" s="1"/>
  <c r="A256" i="1"/>
  <c r="AJ255" i="1"/>
  <c r="X255" i="1"/>
  <c r="Y255" i="1" s="1"/>
  <c r="A255" i="1"/>
  <c r="AJ254" i="1"/>
  <c r="X254" i="1"/>
  <c r="Y254" i="1" s="1"/>
  <c r="A254" i="1"/>
  <c r="AJ253" i="1"/>
  <c r="X253" i="1"/>
  <c r="Y253" i="1" s="1"/>
  <c r="A253" i="1"/>
  <c r="AJ252" i="1"/>
  <c r="X252" i="1"/>
  <c r="Y252" i="1" s="1"/>
  <c r="A252" i="1"/>
  <c r="AJ251" i="1"/>
  <c r="X251" i="1"/>
  <c r="Y251" i="1" s="1"/>
  <c r="A251" i="1"/>
  <c r="AJ250" i="1"/>
  <c r="X250" i="1"/>
  <c r="Y250" i="1" s="1"/>
  <c r="A250" i="1"/>
  <c r="AJ249" i="1"/>
  <c r="X249" i="1"/>
  <c r="Y249" i="1" s="1"/>
  <c r="A249" i="1"/>
  <c r="AJ248" i="1"/>
  <c r="X248" i="1"/>
  <c r="Y248" i="1" s="1"/>
  <c r="A248" i="1"/>
  <c r="AJ247" i="1"/>
  <c r="X247" i="1"/>
  <c r="Y247" i="1" s="1"/>
  <c r="A247" i="1"/>
  <c r="AJ246" i="1"/>
  <c r="X246" i="1"/>
  <c r="Y246" i="1" s="1"/>
  <c r="A246" i="1"/>
  <c r="AJ245" i="1"/>
  <c r="X245" i="1"/>
  <c r="Y245" i="1" s="1"/>
  <c r="A245" i="1"/>
  <c r="AJ244" i="1"/>
  <c r="X244" i="1"/>
  <c r="Y244" i="1" s="1"/>
  <c r="A244" i="1"/>
  <c r="AJ243" i="1"/>
  <c r="X243" i="1"/>
  <c r="Y243" i="1" s="1"/>
  <c r="A243" i="1"/>
  <c r="AJ242" i="1"/>
  <c r="X242" i="1"/>
  <c r="Y242" i="1" s="1"/>
  <c r="A242" i="1"/>
  <c r="AJ241" i="1"/>
  <c r="X241" i="1"/>
  <c r="Y241" i="1" s="1"/>
  <c r="A241" i="1"/>
  <c r="AJ240" i="1"/>
  <c r="X240" i="1"/>
  <c r="Y240" i="1" s="1"/>
  <c r="A240" i="1"/>
  <c r="AJ239" i="1"/>
  <c r="X239" i="1"/>
  <c r="Y239" i="1" s="1"/>
  <c r="A239" i="1"/>
  <c r="AJ238" i="1"/>
  <c r="X238" i="1"/>
  <c r="Y238" i="1" s="1"/>
  <c r="A238" i="1"/>
  <c r="AJ237" i="1"/>
  <c r="X237" i="1"/>
  <c r="Y237" i="1" s="1"/>
  <c r="A237" i="1"/>
  <c r="AJ236" i="1"/>
  <c r="X236" i="1"/>
  <c r="Y236" i="1" s="1"/>
  <c r="A236" i="1"/>
  <c r="AJ235" i="1"/>
  <c r="X235" i="1"/>
  <c r="Y235" i="1" s="1"/>
  <c r="A235" i="1"/>
  <c r="AJ234" i="1"/>
  <c r="X234" i="1"/>
  <c r="Y234" i="1" s="1"/>
  <c r="A234" i="1"/>
  <c r="AJ233" i="1"/>
  <c r="X233" i="1"/>
  <c r="Y233" i="1" s="1"/>
  <c r="A233" i="1"/>
  <c r="AJ232" i="1"/>
  <c r="X232" i="1"/>
  <c r="Y232" i="1" s="1"/>
  <c r="A232" i="1"/>
  <c r="AJ231" i="1"/>
  <c r="X231" i="1"/>
  <c r="Y231" i="1" s="1"/>
  <c r="A231" i="1"/>
  <c r="AJ230" i="1"/>
  <c r="X230" i="1"/>
  <c r="Y230" i="1" s="1"/>
  <c r="A230" i="1"/>
  <c r="AJ229" i="1"/>
  <c r="X229" i="1"/>
  <c r="Y229" i="1" s="1"/>
  <c r="A229" i="1"/>
  <c r="AJ228" i="1"/>
  <c r="X228" i="1"/>
  <c r="Y228" i="1" s="1"/>
  <c r="A228" i="1"/>
  <c r="AJ227" i="1"/>
  <c r="X227" i="1"/>
  <c r="Y227" i="1" s="1"/>
  <c r="A227" i="1"/>
  <c r="AJ226" i="1"/>
  <c r="X226" i="1"/>
  <c r="Y226" i="1" s="1"/>
  <c r="A226" i="1"/>
  <c r="AJ225" i="1"/>
  <c r="X225" i="1"/>
  <c r="Y225" i="1" s="1"/>
  <c r="A225" i="1"/>
  <c r="AJ224" i="1"/>
  <c r="X224" i="1"/>
  <c r="Y224" i="1" s="1"/>
  <c r="A224" i="1"/>
  <c r="AJ223" i="1"/>
  <c r="X223" i="1"/>
  <c r="Y223" i="1" s="1"/>
  <c r="A223" i="1"/>
  <c r="AJ222" i="1"/>
  <c r="X222" i="1"/>
  <c r="Y222" i="1" s="1"/>
  <c r="A222" i="1"/>
  <c r="AJ221" i="1"/>
  <c r="X221" i="1"/>
  <c r="Y221" i="1" s="1"/>
  <c r="A221" i="1"/>
  <c r="AJ220" i="1"/>
  <c r="X220" i="1"/>
  <c r="Y220" i="1" s="1"/>
  <c r="A220" i="1"/>
  <c r="AJ219" i="1"/>
  <c r="X219" i="1"/>
  <c r="Y219" i="1" s="1"/>
  <c r="A219" i="1"/>
  <c r="AJ218" i="1"/>
  <c r="X218" i="1"/>
  <c r="Y218" i="1" s="1"/>
  <c r="A218" i="1"/>
  <c r="AJ217" i="1"/>
  <c r="X217" i="1"/>
  <c r="Y217" i="1" s="1"/>
  <c r="A217" i="1"/>
  <c r="AJ216" i="1"/>
  <c r="X216" i="1"/>
  <c r="Y216" i="1" s="1"/>
  <c r="A216" i="1"/>
  <c r="AJ215" i="1"/>
  <c r="X215" i="1"/>
  <c r="Y215" i="1" s="1"/>
  <c r="A215" i="1"/>
  <c r="AJ214" i="1"/>
  <c r="X214" i="1"/>
  <c r="Y214" i="1" s="1"/>
  <c r="A214" i="1"/>
  <c r="AJ213" i="1"/>
  <c r="X213" i="1"/>
  <c r="Y213" i="1" s="1"/>
  <c r="A213" i="1"/>
  <c r="AJ212" i="1"/>
  <c r="X212" i="1"/>
  <c r="Y212" i="1" s="1"/>
  <c r="A212" i="1"/>
  <c r="AJ211" i="1"/>
  <c r="X211" i="1"/>
  <c r="Y211" i="1" s="1"/>
  <c r="A211" i="1"/>
  <c r="AJ210" i="1"/>
  <c r="X210" i="1"/>
  <c r="Y210" i="1" s="1"/>
  <c r="A210" i="1"/>
  <c r="AJ209" i="1"/>
  <c r="X209" i="1"/>
  <c r="Y209" i="1" s="1"/>
  <c r="A209" i="1"/>
  <c r="AJ208" i="1"/>
  <c r="X208" i="1"/>
  <c r="Y208" i="1" s="1"/>
  <c r="A208" i="1"/>
  <c r="AJ207" i="1"/>
  <c r="X207" i="1"/>
  <c r="Y207" i="1" s="1"/>
  <c r="A207" i="1"/>
  <c r="AJ206" i="1"/>
  <c r="X206" i="1"/>
  <c r="Y206" i="1" s="1"/>
  <c r="A206" i="1"/>
  <c r="AJ205" i="1"/>
  <c r="X205" i="1"/>
  <c r="Y205" i="1" s="1"/>
  <c r="A205" i="1"/>
  <c r="AJ204" i="1"/>
  <c r="X204" i="1"/>
  <c r="Y204" i="1" s="1"/>
  <c r="A204" i="1"/>
  <c r="AJ203" i="1"/>
  <c r="X203" i="1"/>
  <c r="Y203" i="1" s="1"/>
  <c r="A203" i="1"/>
  <c r="AJ202" i="1"/>
  <c r="X202" i="1"/>
  <c r="Y202" i="1" s="1"/>
  <c r="A202" i="1"/>
  <c r="AJ201" i="1"/>
  <c r="X201" i="1"/>
  <c r="Y201" i="1" s="1"/>
  <c r="A201" i="1"/>
  <c r="AJ200" i="1"/>
  <c r="X200" i="1"/>
  <c r="Y200" i="1" s="1"/>
  <c r="A200" i="1"/>
  <c r="AJ199" i="1"/>
  <c r="X199" i="1"/>
  <c r="Y199" i="1" s="1"/>
  <c r="A199" i="1"/>
  <c r="AJ198" i="1"/>
  <c r="X198" i="1"/>
  <c r="Y198" i="1" s="1"/>
  <c r="A198" i="1"/>
  <c r="AJ197" i="1"/>
  <c r="X197" i="1"/>
  <c r="Y197" i="1" s="1"/>
  <c r="A197" i="1"/>
  <c r="AJ196" i="1"/>
  <c r="X196" i="1"/>
  <c r="Y196" i="1" s="1"/>
  <c r="A196" i="1"/>
  <c r="AJ195" i="1"/>
  <c r="X195" i="1"/>
  <c r="Y195" i="1" s="1"/>
  <c r="A195" i="1"/>
  <c r="AJ194" i="1"/>
  <c r="X194" i="1"/>
  <c r="Y194" i="1" s="1"/>
  <c r="A194" i="1"/>
  <c r="AJ193" i="1"/>
  <c r="X193" i="1"/>
  <c r="Y193" i="1" s="1"/>
  <c r="A193" i="1"/>
  <c r="AJ192" i="1"/>
  <c r="X192" i="1"/>
  <c r="Y192" i="1" s="1"/>
  <c r="A192" i="1"/>
  <c r="AJ191" i="1"/>
  <c r="X191" i="1"/>
  <c r="Y191" i="1" s="1"/>
  <c r="A191" i="1"/>
  <c r="AJ190" i="1"/>
  <c r="X190" i="1"/>
  <c r="Y190" i="1" s="1"/>
  <c r="A190" i="1"/>
  <c r="AJ189" i="1"/>
  <c r="X189" i="1"/>
  <c r="Y189" i="1" s="1"/>
  <c r="A189" i="1"/>
  <c r="AJ188" i="1"/>
  <c r="X188" i="1"/>
  <c r="Y188" i="1" s="1"/>
  <c r="A188" i="1"/>
  <c r="AJ187" i="1"/>
  <c r="X187" i="1"/>
  <c r="Y187" i="1" s="1"/>
  <c r="A187" i="1"/>
  <c r="AJ186" i="1"/>
  <c r="X186" i="1"/>
  <c r="Y186" i="1" s="1"/>
  <c r="A186" i="1"/>
  <c r="AJ185" i="1"/>
  <c r="X185" i="1"/>
  <c r="Y185" i="1" s="1"/>
  <c r="A185" i="1"/>
  <c r="AJ184" i="1"/>
  <c r="X184" i="1"/>
  <c r="Y184" i="1" s="1"/>
  <c r="A184" i="1"/>
  <c r="AJ183" i="1"/>
  <c r="X183" i="1"/>
  <c r="Y183" i="1" s="1"/>
  <c r="A183" i="1"/>
  <c r="AJ182" i="1"/>
  <c r="X182" i="1"/>
  <c r="Y182" i="1" s="1"/>
  <c r="A182" i="1"/>
  <c r="AJ181" i="1"/>
  <c r="X181" i="1"/>
  <c r="Y181" i="1" s="1"/>
  <c r="A181" i="1"/>
  <c r="AJ180" i="1"/>
  <c r="X180" i="1"/>
  <c r="Y180" i="1" s="1"/>
  <c r="A180" i="1"/>
  <c r="AJ179" i="1"/>
  <c r="X179" i="1"/>
  <c r="Y179" i="1" s="1"/>
  <c r="A179" i="1"/>
  <c r="AJ178" i="1"/>
  <c r="X178" i="1"/>
  <c r="Y178" i="1" s="1"/>
  <c r="A178" i="1"/>
  <c r="AJ177" i="1"/>
  <c r="X177" i="1"/>
  <c r="Y177" i="1" s="1"/>
  <c r="A177" i="1"/>
  <c r="AJ176" i="1"/>
  <c r="X176" i="1"/>
  <c r="Y176" i="1" s="1"/>
  <c r="A176" i="1"/>
  <c r="AJ175" i="1"/>
  <c r="X175" i="1"/>
  <c r="Y175" i="1" s="1"/>
  <c r="A175" i="1"/>
  <c r="AJ174" i="1"/>
  <c r="X174" i="1"/>
  <c r="Y174" i="1" s="1"/>
  <c r="A174" i="1"/>
  <c r="AJ173" i="1"/>
  <c r="X173" i="1"/>
  <c r="Y173" i="1" s="1"/>
  <c r="A173" i="1"/>
  <c r="AJ172" i="1"/>
  <c r="X172" i="1"/>
  <c r="Y172" i="1" s="1"/>
  <c r="A172" i="1"/>
  <c r="AJ171" i="1"/>
  <c r="X171" i="1"/>
  <c r="Y171" i="1" s="1"/>
  <c r="A171" i="1"/>
  <c r="AJ170" i="1"/>
  <c r="X170" i="1"/>
  <c r="Y170" i="1" s="1"/>
  <c r="A170" i="1"/>
  <c r="AJ169" i="1"/>
  <c r="X169" i="1"/>
  <c r="Y169" i="1" s="1"/>
  <c r="A169" i="1"/>
  <c r="AJ168" i="1"/>
  <c r="X168" i="1"/>
  <c r="Y168" i="1" s="1"/>
  <c r="A168" i="1"/>
  <c r="AJ167" i="1"/>
  <c r="X167" i="1"/>
  <c r="Y167" i="1" s="1"/>
  <c r="A167" i="1"/>
  <c r="AJ166" i="1"/>
  <c r="X166" i="1"/>
  <c r="Y166" i="1" s="1"/>
  <c r="A166" i="1"/>
  <c r="AJ165" i="1"/>
  <c r="X165" i="1"/>
  <c r="Y165" i="1" s="1"/>
  <c r="A165" i="1"/>
  <c r="AJ164" i="1"/>
  <c r="X164" i="1"/>
  <c r="Y164" i="1" s="1"/>
  <c r="A164" i="1"/>
  <c r="AJ163" i="1"/>
  <c r="X163" i="1"/>
  <c r="Y163" i="1" s="1"/>
  <c r="A163" i="1"/>
  <c r="AJ162" i="1"/>
  <c r="X162" i="1"/>
  <c r="Y162" i="1" s="1"/>
  <c r="A162" i="1"/>
  <c r="AJ161" i="1"/>
  <c r="X161" i="1"/>
  <c r="Y161" i="1" s="1"/>
  <c r="A161" i="1"/>
  <c r="AJ160" i="1"/>
  <c r="X160" i="1"/>
  <c r="Y160" i="1" s="1"/>
  <c r="A160" i="1"/>
  <c r="AJ159" i="1"/>
  <c r="X159" i="1"/>
  <c r="Y159" i="1" s="1"/>
  <c r="A159" i="1"/>
  <c r="AJ158" i="1"/>
  <c r="X158" i="1"/>
  <c r="Y158" i="1" s="1"/>
  <c r="A158" i="1"/>
  <c r="AJ157" i="1"/>
  <c r="X157" i="1"/>
  <c r="Y157" i="1" s="1"/>
  <c r="A157" i="1"/>
  <c r="AJ156" i="1"/>
  <c r="X156" i="1"/>
  <c r="Y156" i="1" s="1"/>
  <c r="A156" i="1"/>
  <c r="AJ155" i="1"/>
  <c r="X155" i="1"/>
  <c r="Y155" i="1" s="1"/>
  <c r="A155" i="1"/>
  <c r="AJ154" i="1"/>
  <c r="X154" i="1"/>
  <c r="Y154" i="1" s="1"/>
  <c r="A154" i="1"/>
  <c r="AJ153" i="1"/>
  <c r="X153" i="1"/>
  <c r="Y153" i="1" s="1"/>
  <c r="A153" i="1"/>
  <c r="AJ152" i="1"/>
  <c r="X152" i="1"/>
  <c r="Y152" i="1" s="1"/>
  <c r="A152" i="1"/>
  <c r="AJ151" i="1"/>
  <c r="X151" i="1"/>
  <c r="Y151" i="1" s="1"/>
  <c r="A151" i="1"/>
  <c r="AJ150" i="1"/>
  <c r="X150" i="1"/>
  <c r="Y150" i="1" s="1"/>
  <c r="A150" i="1"/>
  <c r="AJ149" i="1"/>
  <c r="X149" i="1"/>
  <c r="Y149" i="1" s="1"/>
  <c r="A149" i="1"/>
  <c r="AJ148" i="1"/>
  <c r="X148" i="1"/>
  <c r="Y148" i="1" s="1"/>
  <c r="A148" i="1"/>
  <c r="AJ147" i="1"/>
  <c r="X147" i="1"/>
  <c r="Y147" i="1" s="1"/>
  <c r="A147" i="1"/>
  <c r="AJ146" i="1"/>
  <c r="X146" i="1"/>
  <c r="Y146" i="1" s="1"/>
  <c r="A146" i="1"/>
  <c r="AJ145" i="1"/>
  <c r="X145" i="1"/>
  <c r="Y145" i="1" s="1"/>
  <c r="A145" i="1"/>
  <c r="AJ144" i="1"/>
  <c r="X144" i="1"/>
  <c r="Y144" i="1" s="1"/>
  <c r="A144" i="1"/>
  <c r="AJ143" i="1"/>
  <c r="X143" i="1"/>
  <c r="Y143" i="1" s="1"/>
  <c r="A143" i="1"/>
  <c r="AJ142" i="1"/>
  <c r="X142" i="1"/>
  <c r="Y142" i="1" s="1"/>
  <c r="A142" i="1"/>
  <c r="AJ141" i="1"/>
  <c r="X141" i="1"/>
  <c r="Y141" i="1" s="1"/>
  <c r="A141" i="1"/>
  <c r="AJ140" i="1"/>
  <c r="X140" i="1"/>
  <c r="Y140" i="1" s="1"/>
  <c r="A140" i="1"/>
  <c r="AJ139" i="1"/>
  <c r="X139" i="1"/>
  <c r="Y139" i="1" s="1"/>
  <c r="A139" i="1"/>
  <c r="AJ138" i="1"/>
  <c r="X138" i="1"/>
  <c r="Y138" i="1" s="1"/>
  <c r="A138" i="1"/>
  <c r="AJ137" i="1"/>
  <c r="X137" i="1"/>
  <c r="Y137" i="1" s="1"/>
  <c r="A137" i="1"/>
  <c r="AJ136" i="1"/>
  <c r="X136" i="1"/>
  <c r="Y136" i="1" s="1"/>
  <c r="A136" i="1"/>
  <c r="AJ135" i="1"/>
  <c r="X135" i="1"/>
  <c r="Y135" i="1" s="1"/>
  <c r="A135" i="1"/>
  <c r="AJ134" i="1"/>
  <c r="X134" i="1"/>
  <c r="Y134" i="1" s="1"/>
  <c r="A134" i="1"/>
  <c r="AJ133" i="1"/>
  <c r="X133" i="1"/>
  <c r="Y133" i="1" s="1"/>
  <c r="A133" i="1"/>
  <c r="AJ132" i="1"/>
  <c r="X132" i="1"/>
  <c r="Y132" i="1" s="1"/>
  <c r="A132" i="1"/>
  <c r="AJ131" i="1"/>
  <c r="X131" i="1"/>
  <c r="Y131" i="1" s="1"/>
  <c r="A131" i="1"/>
  <c r="AJ130" i="1"/>
  <c r="X130" i="1"/>
  <c r="Y130" i="1" s="1"/>
  <c r="A130" i="1"/>
  <c r="AJ129" i="1"/>
  <c r="X129" i="1"/>
  <c r="Y129" i="1" s="1"/>
  <c r="A129" i="1"/>
  <c r="AJ128" i="1"/>
  <c r="X128" i="1"/>
  <c r="Y128" i="1" s="1"/>
  <c r="A128" i="1"/>
  <c r="AJ127" i="1"/>
  <c r="X127" i="1"/>
  <c r="Y127" i="1" s="1"/>
  <c r="A127" i="1"/>
  <c r="AJ126" i="1"/>
  <c r="X126" i="1"/>
  <c r="Y126" i="1" s="1"/>
  <c r="A126" i="1"/>
  <c r="AJ125" i="1"/>
  <c r="X125" i="1"/>
  <c r="Y125" i="1" s="1"/>
  <c r="A125" i="1"/>
  <c r="AJ124" i="1"/>
  <c r="X124" i="1"/>
  <c r="Y124" i="1" s="1"/>
  <c r="A124" i="1"/>
  <c r="AJ123" i="1"/>
  <c r="X123" i="1"/>
  <c r="Y123" i="1" s="1"/>
  <c r="A123" i="1"/>
  <c r="AJ122" i="1"/>
  <c r="X122" i="1"/>
  <c r="Y122" i="1" s="1"/>
  <c r="A122" i="1"/>
  <c r="AJ121" i="1"/>
  <c r="X121" i="1"/>
  <c r="Y121" i="1" s="1"/>
  <c r="A121" i="1"/>
  <c r="AJ120" i="1"/>
  <c r="X120" i="1"/>
  <c r="Y120" i="1" s="1"/>
  <c r="A120" i="1"/>
  <c r="AJ119" i="1"/>
  <c r="X119" i="1"/>
  <c r="Y119" i="1" s="1"/>
  <c r="A119" i="1"/>
  <c r="AJ118" i="1"/>
  <c r="X118" i="1"/>
  <c r="Y118" i="1" s="1"/>
  <c r="A118" i="1"/>
  <c r="AJ117" i="1"/>
  <c r="X117" i="1"/>
  <c r="Y117" i="1" s="1"/>
  <c r="A117" i="1"/>
  <c r="AJ116" i="1"/>
  <c r="X116" i="1"/>
  <c r="Y116" i="1" s="1"/>
  <c r="A116" i="1"/>
  <c r="AJ115" i="1"/>
  <c r="X115" i="1"/>
  <c r="Y115" i="1" s="1"/>
  <c r="A115" i="1"/>
  <c r="AJ114" i="1"/>
  <c r="X114" i="1"/>
  <c r="Y114" i="1" s="1"/>
  <c r="A114" i="1"/>
  <c r="AJ113" i="1"/>
  <c r="X113" i="1"/>
  <c r="Y113" i="1" s="1"/>
  <c r="A113" i="1"/>
  <c r="AJ112" i="1"/>
  <c r="X112" i="1"/>
  <c r="Y112" i="1" s="1"/>
  <c r="A112" i="1"/>
  <c r="AJ111" i="1"/>
  <c r="X111" i="1"/>
  <c r="Y111" i="1" s="1"/>
  <c r="A111" i="1"/>
  <c r="AJ110" i="1"/>
  <c r="X110" i="1"/>
  <c r="Y110" i="1" s="1"/>
  <c r="A110" i="1"/>
  <c r="AJ109" i="1"/>
  <c r="X109" i="1"/>
  <c r="Y109" i="1" s="1"/>
  <c r="A109" i="1"/>
  <c r="AJ108" i="1"/>
  <c r="X108" i="1"/>
  <c r="Y108" i="1" s="1"/>
  <c r="A108" i="1"/>
  <c r="AJ107" i="1"/>
  <c r="X107" i="1"/>
  <c r="Y107" i="1" s="1"/>
  <c r="A107" i="1"/>
  <c r="AJ106" i="1"/>
  <c r="X106" i="1"/>
  <c r="Y106" i="1" s="1"/>
  <c r="A106" i="1"/>
  <c r="AJ105" i="1"/>
  <c r="X105" i="1"/>
  <c r="Y105" i="1" s="1"/>
  <c r="A105" i="1"/>
  <c r="AJ104" i="1"/>
  <c r="X104" i="1"/>
  <c r="Y104" i="1" s="1"/>
  <c r="A104" i="1"/>
  <c r="AJ103" i="1"/>
  <c r="X103" i="1"/>
  <c r="Y103" i="1" s="1"/>
  <c r="A103" i="1"/>
  <c r="AJ102" i="1"/>
  <c r="X102" i="1"/>
  <c r="Y102" i="1" s="1"/>
  <c r="A102" i="1"/>
  <c r="AJ101" i="1"/>
  <c r="X101" i="1"/>
  <c r="Y101" i="1" s="1"/>
  <c r="A101" i="1"/>
  <c r="AJ100" i="1"/>
  <c r="X100" i="1"/>
  <c r="Y100" i="1" s="1"/>
  <c r="A100" i="1"/>
  <c r="AJ99" i="1"/>
  <c r="X99" i="1"/>
  <c r="Y99" i="1" s="1"/>
  <c r="A99" i="1"/>
  <c r="AJ98" i="1"/>
  <c r="X98" i="1"/>
  <c r="Y98" i="1" s="1"/>
  <c r="A98" i="1"/>
  <c r="AJ97" i="1"/>
  <c r="X97" i="1"/>
  <c r="Y97" i="1" s="1"/>
  <c r="A97" i="1"/>
  <c r="AJ96" i="1"/>
  <c r="X96" i="1"/>
  <c r="Y96" i="1" s="1"/>
  <c r="A96" i="1"/>
  <c r="AJ95" i="1"/>
  <c r="X95" i="1"/>
  <c r="Y95" i="1" s="1"/>
  <c r="A95" i="1"/>
  <c r="AJ94" i="1"/>
  <c r="X94" i="1"/>
  <c r="Y94" i="1" s="1"/>
  <c r="A94" i="1"/>
  <c r="AJ93" i="1"/>
  <c r="X93" i="1"/>
  <c r="Y93" i="1" s="1"/>
  <c r="A93" i="1"/>
  <c r="AJ92" i="1"/>
  <c r="X92" i="1"/>
  <c r="Y92" i="1" s="1"/>
  <c r="A92" i="1"/>
  <c r="AJ91" i="1"/>
  <c r="X91" i="1"/>
  <c r="Y91" i="1" s="1"/>
  <c r="A91" i="1"/>
  <c r="AJ90" i="1"/>
  <c r="X90" i="1"/>
  <c r="Y90" i="1" s="1"/>
  <c r="A90" i="1"/>
  <c r="AJ89" i="1"/>
  <c r="X89" i="1"/>
  <c r="Y89" i="1" s="1"/>
  <c r="A89" i="1"/>
  <c r="AJ88" i="1"/>
  <c r="X88" i="1"/>
  <c r="Y88" i="1" s="1"/>
  <c r="A88" i="1"/>
  <c r="AJ87" i="1"/>
  <c r="X87" i="1"/>
  <c r="Y87" i="1" s="1"/>
  <c r="A87" i="1"/>
  <c r="AJ86" i="1"/>
  <c r="X86" i="1"/>
  <c r="Y86" i="1" s="1"/>
  <c r="A86" i="1"/>
  <c r="AJ85" i="1"/>
  <c r="X85" i="1"/>
  <c r="Y85" i="1" s="1"/>
  <c r="A85" i="1"/>
  <c r="AJ84" i="1"/>
  <c r="X84" i="1"/>
  <c r="Y84" i="1" s="1"/>
  <c r="A84" i="1"/>
  <c r="AJ83" i="1"/>
  <c r="X83" i="1"/>
  <c r="Y83" i="1" s="1"/>
  <c r="A83" i="1"/>
  <c r="AJ82" i="1"/>
  <c r="X82" i="1"/>
  <c r="Y82" i="1" s="1"/>
  <c r="A82" i="1"/>
  <c r="AJ81" i="1"/>
  <c r="X81" i="1"/>
  <c r="Y81" i="1" s="1"/>
  <c r="A81" i="1"/>
  <c r="AJ80" i="1"/>
  <c r="X80" i="1"/>
  <c r="Y80" i="1" s="1"/>
  <c r="A80" i="1"/>
  <c r="AJ79" i="1"/>
  <c r="X79" i="1"/>
  <c r="Y79" i="1" s="1"/>
  <c r="A79" i="1"/>
  <c r="AJ78" i="1"/>
  <c r="X78" i="1"/>
  <c r="Y78" i="1" s="1"/>
  <c r="A78" i="1"/>
  <c r="AJ77" i="1"/>
  <c r="X77" i="1"/>
  <c r="Y77" i="1" s="1"/>
  <c r="A77" i="1"/>
  <c r="AJ76" i="1"/>
  <c r="X76" i="1"/>
  <c r="Y76" i="1" s="1"/>
  <c r="A76" i="1"/>
  <c r="AJ75" i="1"/>
  <c r="X75" i="1"/>
  <c r="Y75" i="1" s="1"/>
  <c r="A75" i="1"/>
  <c r="AJ74" i="1"/>
  <c r="X74" i="1"/>
  <c r="Y74" i="1" s="1"/>
  <c r="A74" i="1"/>
  <c r="AJ73" i="1"/>
  <c r="X73" i="1"/>
  <c r="Y73" i="1" s="1"/>
  <c r="A73" i="1"/>
  <c r="AJ72" i="1"/>
  <c r="X72" i="1"/>
  <c r="Y72" i="1" s="1"/>
  <c r="A72" i="1"/>
  <c r="AJ71" i="1"/>
  <c r="X71" i="1"/>
  <c r="Y71" i="1" s="1"/>
  <c r="A71" i="1"/>
  <c r="AJ70" i="1"/>
  <c r="X70" i="1"/>
  <c r="Y70" i="1" s="1"/>
  <c r="A70" i="1"/>
  <c r="AJ69" i="1"/>
  <c r="X69" i="1"/>
  <c r="Y69" i="1" s="1"/>
  <c r="A69" i="1"/>
  <c r="AJ68" i="1"/>
  <c r="X68" i="1"/>
  <c r="Y68" i="1" s="1"/>
  <c r="A68" i="1"/>
  <c r="AJ67" i="1"/>
  <c r="X67" i="1"/>
  <c r="Y67" i="1" s="1"/>
  <c r="A67" i="1"/>
  <c r="AJ66" i="1"/>
  <c r="X66" i="1"/>
  <c r="Y66" i="1" s="1"/>
  <c r="A66" i="1"/>
  <c r="AJ65" i="1"/>
  <c r="X65" i="1"/>
  <c r="Y65" i="1" s="1"/>
  <c r="A65" i="1"/>
  <c r="AJ64" i="1"/>
  <c r="X64" i="1"/>
  <c r="Y64" i="1" s="1"/>
  <c r="A64" i="1"/>
  <c r="AJ63" i="1"/>
  <c r="X63" i="1"/>
  <c r="Y63" i="1" s="1"/>
  <c r="A63" i="1"/>
  <c r="AJ62" i="1"/>
  <c r="X62" i="1"/>
  <c r="Y62" i="1" s="1"/>
  <c r="A62" i="1"/>
  <c r="AJ61" i="1"/>
  <c r="X61" i="1"/>
  <c r="Y61" i="1" s="1"/>
  <c r="A61" i="1"/>
  <c r="AJ60" i="1"/>
  <c r="X60" i="1"/>
  <c r="Y60" i="1" s="1"/>
  <c r="A60" i="1"/>
  <c r="AJ59" i="1"/>
  <c r="X59" i="1"/>
  <c r="Y59" i="1" s="1"/>
  <c r="A59" i="1"/>
  <c r="AJ58" i="1"/>
  <c r="X58" i="1"/>
  <c r="Y58" i="1" s="1"/>
  <c r="A58" i="1"/>
  <c r="AJ57" i="1"/>
  <c r="X57" i="1"/>
  <c r="Y57" i="1" s="1"/>
  <c r="A57" i="1"/>
  <c r="AJ56" i="1"/>
  <c r="X56" i="1"/>
  <c r="Y56" i="1" s="1"/>
  <c r="A56" i="1"/>
  <c r="AJ55" i="1"/>
  <c r="X55" i="1"/>
  <c r="Y55" i="1" s="1"/>
  <c r="A55" i="1"/>
  <c r="AJ54" i="1"/>
  <c r="X54" i="1"/>
  <c r="Y54" i="1" s="1"/>
  <c r="A54" i="1"/>
  <c r="AJ53" i="1"/>
  <c r="X53" i="1"/>
  <c r="Y53" i="1" s="1"/>
  <c r="A53" i="1"/>
  <c r="AJ52" i="1"/>
  <c r="X52" i="1"/>
  <c r="Y52" i="1" s="1"/>
  <c r="A52" i="1"/>
  <c r="AJ51" i="1"/>
  <c r="X51" i="1"/>
  <c r="Y51" i="1" s="1"/>
  <c r="A51" i="1"/>
  <c r="AJ50" i="1"/>
  <c r="X50" i="1"/>
  <c r="Y50" i="1" s="1"/>
  <c r="A50" i="1"/>
  <c r="AJ49" i="1"/>
  <c r="X49" i="1"/>
  <c r="Y49" i="1" s="1"/>
  <c r="A49" i="1"/>
  <c r="AJ48" i="1"/>
  <c r="X48" i="1"/>
  <c r="Y48" i="1" s="1"/>
  <c r="A48" i="1"/>
  <c r="AJ47" i="1"/>
  <c r="X47" i="1"/>
  <c r="Y47" i="1" s="1"/>
  <c r="A47" i="1"/>
  <c r="AJ46" i="1"/>
  <c r="X46" i="1"/>
  <c r="Y46" i="1" s="1"/>
  <c r="A46" i="1"/>
  <c r="AJ45" i="1"/>
  <c r="X45" i="1"/>
  <c r="Y45" i="1" s="1"/>
  <c r="A45" i="1"/>
  <c r="AJ44" i="1"/>
  <c r="X44" i="1"/>
  <c r="Y44" i="1" s="1"/>
  <c r="A44" i="1"/>
  <c r="AJ43" i="1"/>
  <c r="X43" i="1"/>
  <c r="Y43" i="1" s="1"/>
  <c r="A43" i="1"/>
  <c r="AJ42" i="1"/>
  <c r="X42" i="1"/>
  <c r="Y42" i="1" s="1"/>
  <c r="A42" i="1"/>
  <c r="AJ41" i="1"/>
  <c r="X41" i="1"/>
  <c r="Y41" i="1" s="1"/>
  <c r="A41" i="1"/>
  <c r="AJ40" i="1"/>
  <c r="X40" i="1"/>
  <c r="Y40" i="1" s="1"/>
  <c r="A40" i="1"/>
  <c r="AJ39" i="1"/>
  <c r="X39" i="1"/>
  <c r="Y39" i="1" s="1"/>
  <c r="A39" i="1"/>
  <c r="AJ38" i="1"/>
  <c r="X38" i="1"/>
  <c r="Y38" i="1" s="1"/>
  <c r="A38" i="1"/>
  <c r="AJ37" i="1"/>
  <c r="X37" i="1"/>
  <c r="Y37" i="1" s="1"/>
  <c r="A37" i="1"/>
  <c r="AJ36" i="1"/>
  <c r="X36" i="1"/>
  <c r="Y36" i="1" s="1"/>
  <c r="A36" i="1"/>
  <c r="AJ35" i="1"/>
  <c r="X35" i="1"/>
  <c r="Y35" i="1" s="1"/>
  <c r="A35" i="1"/>
  <c r="AJ34" i="1"/>
  <c r="X34" i="1"/>
  <c r="Y34" i="1" s="1"/>
  <c r="A34" i="1"/>
  <c r="AJ33" i="1"/>
  <c r="X33" i="1"/>
  <c r="Y33" i="1" s="1"/>
  <c r="A33" i="1"/>
  <c r="AJ32" i="1"/>
  <c r="X32" i="1"/>
  <c r="Y32" i="1" s="1"/>
  <c r="A32" i="1"/>
  <c r="AJ31" i="1"/>
  <c r="X31" i="1"/>
  <c r="Y31" i="1" s="1"/>
  <c r="A31" i="1"/>
  <c r="AJ30" i="1"/>
  <c r="X30" i="1"/>
  <c r="Y30" i="1" s="1"/>
  <c r="A30" i="1"/>
  <c r="AJ29" i="1"/>
  <c r="X29" i="1"/>
  <c r="Y29" i="1" s="1"/>
  <c r="A29" i="1"/>
  <c r="AJ28" i="1"/>
  <c r="X28" i="1"/>
  <c r="Y28" i="1" s="1"/>
  <c r="A28" i="1"/>
  <c r="AJ27" i="1"/>
  <c r="X27" i="1"/>
  <c r="Y27" i="1" s="1"/>
  <c r="A27" i="1"/>
  <c r="AJ26" i="1"/>
  <c r="X26" i="1"/>
  <c r="Y26" i="1" s="1"/>
  <c r="A26" i="1"/>
  <c r="AJ25" i="1"/>
  <c r="X25" i="1"/>
  <c r="Y25" i="1" s="1"/>
  <c r="A25" i="1"/>
  <c r="AJ24" i="1"/>
  <c r="X24" i="1"/>
  <c r="Y24" i="1" s="1"/>
  <c r="A24" i="1"/>
  <c r="AJ23" i="1"/>
  <c r="X23" i="1"/>
  <c r="Y23" i="1" s="1"/>
  <c r="A23" i="1"/>
  <c r="AJ22" i="1"/>
  <c r="X22" i="1"/>
  <c r="Y22" i="1" s="1"/>
  <c r="A22" i="1"/>
  <c r="AJ21" i="1"/>
  <c r="X21" i="1"/>
  <c r="Y21" i="1" s="1"/>
  <c r="A21" i="1"/>
  <c r="AJ20" i="1"/>
  <c r="X20" i="1"/>
  <c r="Y20" i="1" s="1"/>
  <c r="A20" i="1"/>
  <c r="AJ19" i="1"/>
  <c r="X19" i="1"/>
  <c r="Y19" i="1" s="1"/>
  <c r="A19" i="1"/>
  <c r="AJ18" i="1"/>
  <c r="X18" i="1"/>
  <c r="Y18" i="1" s="1"/>
  <c r="A18" i="1"/>
  <c r="AJ17" i="1"/>
  <c r="X17" i="1"/>
  <c r="Y17" i="1" s="1"/>
  <c r="A17" i="1"/>
  <c r="AJ16" i="1"/>
  <c r="X16" i="1"/>
  <c r="Y16" i="1" s="1"/>
  <c r="A16" i="1"/>
  <c r="AJ15" i="1"/>
  <c r="X15" i="1"/>
  <c r="Y15" i="1" s="1"/>
  <c r="A15" i="1"/>
  <c r="AJ14" i="1"/>
  <c r="X14" i="1"/>
  <c r="Y14" i="1" s="1"/>
  <c r="A14" i="1"/>
  <c r="AJ13" i="1"/>
  <c r="X13" i="1"/>
  <c r="Y13" i="1" s="1"/>
  <c r="A13" i="1"/>
  <c r="AJ12" i="1"/>
  <c r="X12" i="1"/>
  <c r="Y12" i="1" s="1"/>
  <c r="A12" i="1"/>
  <c r="AJ11" i="1"/>
  <c r="X11" i="1"/>
  <c r="Y11" i="1" s="1"/>
  <c r="A11" i="1"/>
  <c r="AJ10" i="1"/>
  <c r="X10" i="1"/>
  <c r="Y10" i="1" s="1"/>
  <c r="A10" i="1"/>
  <c r="AJ9" i="1"/>
  <c r="X9" i="1"/>
  <c r="Y9" i="1" s="1"/>
  <c r="A9" i="1"/>
  <c r="AJ8" i="1"/>
  <c r="X8" i="1"/>
  <c r="Y8" i="1" s="1"/>
  <c r="A8" i="1"/>
  <c r="AJ7" i="1"/>
  <c r="X7" i="1"/>
  <c r="Y7" i="1" s="1"/>
  <c r="A7" i="1"/>
  <c r="AJ6" i="1"/>
  <c r="X6" i="1"/>
  <c r="Y6" i="1" s="1"/>
  <c r="A6" i="1"/>
  <c r="AJ5" i="1"/>
  <c r="X5" i="1"/>
  <c r="Y5" i="1" s="1"/>
  <c r="A5" i="1"/>
  <c r="AJ4" i="1"/>
  <c r="X4" i="1"/>
  <c r="Y4" i="1" s="1"/>
  <c r="A4" i="1"/>
  <c r="AJ3" i="1"/>
  <c r="X3" i="1"/>
  <c r="Y3" i="1" s="1"/>
  <c r="A3" i="1"/>
  <c r="AJ2" i="1"/>
  <c r="X2" i="1"/>
  <c r="Y2" i="1" s="1"/>
  <c r="A2" i="1"/>
  <c r="U259" i="2"/>
  <c r="V259" i="2" s="1"/>
  <c r="A259" i="2"/>
  <c r="U258" i="2"/>
  <c r="V258" i="2" s="1"/>
  <c r="A258" i="2"/>
  <c r="U257" i="2"/>
  <c r="V257" i="2" s="1"/>
  <c r="A257" i="2"/>
  <c r="U256" i="2"/>
  <c r="V256" i="2" s="1"/>
  <c r="A256" i="2"/>
  <c r="U255" i="2"/>
  <c r="V255" i="2" s="1"/>
  <c r="A255" i="2"/>
  <c r="U254" i="2"/>
  <c r="V254" i="2" s="1"/>
  <c r="A254" i="2"/>
  <c r="U253" i="2"/>
  <c r="V253" i="2" s="1"/>
  <c r="A253" i="2"/>
  <c r="U252" i="2"/>
  <c r="V252" i="2" s="1"/>
  <c r="A252" i="2"/>
  <c r="U251" i="2"/>
  <c r="V251" i="2" s="1"/>
  <c r="A251" i="2"/>
  <c r="U250" i="2"/>
  <c r="V250" i="2" s="1"/>
  <c r="A250" i="2"/>
  <c r="U249" i="2"/>
  <c r="V249" i="2" s="1"/>
  <c r="A249" i="2"/>
  <c r="U248" i="2"/>
  <c r="V248" i="2" s="1"/>
  <c r="A248" i="2"/>
  <c r="U247" i="2"/>
  <c r="V247" i="2" s="1"/>
  <c r="A247" i="2"/>
  <c r="U246" i="2"/>
  <c r="V246" i="2" s="1"/>
  <c r="A246" i="2"/>
  <c r="U245" i="2"/>
  <c r="V245" i="2" s="1"/>
  <c r="A245" i="2"/>
  <c r="U244" i="2"/>
  <c r="V244" i="2" s="1"/>
  <c r="A244" i="2"/>
  <c r="U243" i="2"/>
  <c r="V243" i="2" s="1"/>
  <c r="A243" i="2"/>
  <c r="U242" i="2"/>
  <c r="V242" i="2" s="1"/>
  <c r="A242" i="2"/>
  <c r="U241" i="2"/>
  <c r="V241" i="2" s="1"/>
  <c r="A241" i="2"/>
  <c r="U240" i="2"/>
  <c r="V240" i="2" s="1"/>
  <c r="A240" i="2"/>
  <c r="U239" i="2"/>
  <c r="V239" i="2" s="1"/>
  <c r="A239" i="2"/>
  <c r="U238" i="2"/>
  <c r="V238" i="2" s="1"/>
  <c r="A238" i="2"/>
  <c r="U237" i="2"/>
  <c r="V237" i="2" s="1"/>
  <c r="A237" i="2"/>
  <c r="U236" i="2"/>
  <c r="V236" i="2" s="1"/>
  <c r="A236" i="2"/>
  <c r="U235" i="2"/>
  <c r="V235" i="2" s="1"/>
  <c r="A235" i="2"/>
  <c r="U234" i="2"/>
  <c r="V234" i="2" s="1"/>
  <c r="A234" i="2"/>
  <c r="U233" i="2"/>
  <c r="V233" i="2" s="1"/>
  <c r="A233" i="2"/>
  <c r="U232" i="2"/>
  <c r="V232" i="2" s="1"/>
  <c r="S232" i="2"/>
  <c r="A232" i="2"/>
  <c r="U231" i="2"/>
  <c r="V231" i="2" s="1"/>
  <c r="S231" i="2"/>
  <c r="A231" i="2"/>
  <c r="U230" i="2"/>
  <c r="V230" i="2" s="1"/>
  <c r="S230" i="2"/>
  <c r="A230" i="2"/>
  <c r="U229" i="2"/>
  <c r="V229" i="2" s="1"/>
  <c r="S229" i="2"/>
  <c r="A229" i="2"/>
  <c r="U228" i="2"/>
  <c r="V228" i="2" s="1"/>
  <c r="S228" i="2"/>
  <c r="A228" i="2"/>
  <c r="U227" i="2"/>
  <c r="V227" i="2" s="1"/>
  <c r="S227" i="2"/>
  <c r="A227" i="2"/>
  <c r="U226" i="2"/>
  <c r="V226" i="2" s="1"/>
  <c r="S226" i="2"/>
  <c r="A226" i="2"/>
  <c r="U225" i="2"/>
  <c r="V225" i="2" s="1"/>
  <c r="S225" i="2"/>
  <c r="A225" i="2"/>
  <c r="U224" i="2"/>
  <c r="V224" i="2" s="1"/>
  <c r="S224" i="2"/>
  <c r="A224" i="2"/>
  <c r="U223" i="2"/>
  <c r="V223" i="2" s="1"/>
  <c r="S223" i="2"/>
  <c r="A223" i="2"/>
  <c r="U222" i="2"/>
  <c r="V222" i="2" s="1"/>
  <c r="S222" i="2"/>
  <c r="A222" i="2"/>
  <c r="U221" i="2"/>
  <c r="V221" i="2" s="1"/>
  <c r="S221" i="2"/>
  <c r="A221" i="2"/>
  <c r="U220" i="2"/>
  <c r="V220" i="2" s="1"/>
  <c r="S220" i="2"/>
  <c r="A220" i="2"/>
  <c r="U219" i="2"/>
  <c r="V219" i="2" s="1"/>
  <c r="S219" i="2"/>
  <c r="A219" i="2"/>
  <c r="U218" i="2"/>
  <c r="V218" i="2" s="1"/>
  <c r="S218" i="2"/>
  <c r="A218" i="2"/>
  <c r="U217" i="2"/>
  <c r="V217" i="2" s="1"/>
  <c r="S217" i="2"/>
  <c r="A217" i="2"/>
  <c r="U216" i="2"/>
  <c r="V216" i="2" s="1"/>
  <c r="S216" i="2"/>
  <c r="A216" i="2"/>
  <c r="U215" i="2"/>
  <c r="V215" i="2" s="1"/>
  <c r="S215" i="2"/>
  <c r="A215" i="2"/>
  <c r="U214" i="2"/>
  <c r="V214" i="2" s="1"/>
  <c r="S214" i="2"/>
  <c r="A214" i="2"/>
  <c r="U213" i="2"/>
  <c r="V213" i="2" s="1"/>
  <c r="S213" i="2"/>
  <c r="A213" i="2"/>
  <c r="U212" i="2"/>
  <c r="V212" i="2" s="1"/>
  <c r="S212" i="2"/>
  <c r="A212" i="2"/>
  <c r="U211" i="2"/>
  <c r="V211" i="2" s="1"/>
  <c r="S211" i="2"/>
  <c r="A211" i="2"/>
  <c r="U210" i="2"/>
  <c r="V210" i="2" s="1"/>
  <c r="S210" i="2"/>
  <c r="A210" i="2"/>
  <c r="U209" i="2"/>
  <c r="V209" i="2" s="1"/>
  <c r="S209" i="2"/>
  <c r="A209" i="2"/>
  <c r="U208" i="2"/>
  <c r="V208" i="2" s="1"/>
  <c r="S208" i="2"/>
  <c r="A208" i="2"/>
  <c r="U207" i="2"/>
  <c r="V207" i="2" s="1"/>
  <c r="S207" i="2"/>
  <c r="A207" i="2"/>
  <c r="U206" i="2"/>
  <c r="V206" i="2" s="1"/>
  <c r="S206" i="2"/>
  <c r="A206" i="2"/>
  <c r="U205" i="2"/>
  <c r="V205" i="2" s="1"/>
  <c r="S205" i="2"/>
  <c r="A205" i="2"/>
  <c r="U204" i="2"/>
  <c r="V204" i="2" s="1"/>
  <c r="S204" i="2"/>
  <c r="A204" i="2"/>
  <c r="U203" i="2"/>
  <c r="V203" i="2" s="1"/>
  <c r="S203" i="2"/>
  <c r="A203" i="2"/>
  <c r="U202" i="2"/>
  <c r="V202" i="2" s="1"/>
  <c r="S202" i="2"/>
  <c r="A202" i="2"/>
  <c r="U201" i="2"/>
  <c r="V201" i="2" s="1"/>
  <c r="S201" i="2"/>
  <c r="A201" i="2"/>
  <c r="U200" i="2"/>
  <c r="V200" i="2" s="1"/>
  <c r="S200" i="2"/>
  <c r="A200" i="2"/>
  <c r="U199" i="2"/>
  <c r="V199" i="2" s="1"/>
  <c r="S199" i="2"/>
  <c r="A199" i="2"/>
  <c r="U198" i="2"/>
  <c r="V198" i="2" s="1"/>
  <c r="S198" i="2"/>
  <c r="A198" i="2"/>
  <c r="U197" i="2"/>
  <c r="V197" i="2" s="1"/>
  <c r="S197" i="2"/>
  <c r="A197" i="2"/>
  <c r="U196" i="2"/>
  <c r="V196" i="2" s="1"/>
  <c r="S196" i="2"/>
  <c r="A196" i="2"/>
  <c r="U195" i="2"/>
  <c r="V195" i="2" s="1"/>
  <c r="S195" i="2"/>
  <c r="A195" i="2"/>
  <c r="U194" i="2"/>
  <c r="V194" i="2" s="1"/>
  <c r="S194" i="2"/>
  <c r="A194" i="2"/>
  <c r="U193" i="2"/>
  <c r="V193" i="2" s="1"/>
  <c r="S193" i="2"/>
  <c r="A193" i="2"/>
  <c r="U192" i="2"/>
  <c r="V192" i="2" s="1"/>
  <c r="S192" i="2"/>
  <c r="A192" i="2"/>
  <c r="U191" i="2"/>
  <c r="V191" i="2" s="1"/>
  <c r="S191" i="2"/>
  <c r="A191" i="2"/>
  <c r="U190" i="2"/>
  <c r="V190" i="2" s="1"/>
  <c r="S190" i="2"/>
  <c r="A190" i="2"/>
  <c r="U189" i="2"/>
  <c r="V189" i="2" s="1"/>
  <c r="S189" i="2"/>
  <c r="A189" i="2"/>
  <c r="U188" i="2"/>
  <c r="V188" i="2" s="1"/>
  <c r="S188" i="2"/>
  <c r="A188" i="2"/>
  <c r="U187" i="2"/>
  <c r="V187" i="2" s="1"/>
  <c r="S187" i="2"/>
  <c r="A187" i="2"/>
  <c r="U186" i="2"/>
  <c r="V186" i="2" s="1"/>
  <c r="S186" i="2"/>
  <c r="A186" i="2"/>
  <c r="U185" i="2"/>
  <c r="V185" i="2" s="1"/>
  <c r="S185" i="2"/>
  <c r="A185" i="2"/>
  <c r="U184" i="2"/>
  <c r="V184" i="2" s="1"/>
  <c r="S184" i="2"/>
  <c r="A184" i="2"/>
  <c r="U183" i="2"/>
  <c r="V183" i="2" s="1"/>
  <c r="S183" i="2"/>
  <c r="A183" i="2"/>
  <c r="U182" i="2"/>
  <c r="V182" i="2" s="1"/>
  <c r="S182" i="2"/>
  <c r="A182" i="2"/>
  <c r="U181" i="2"/>
  <c r="V181" i="2" s="1"/>
  <c r="S181" i="2"/>
  <c r="A181" i="2"/>
  <c r="U180" i="2"/>
  <c r="V180" i="2" s="1"/>
  <c r="S180" i="2"/>
  <c r="A180" i="2"/>
  <c r="U179" i="2"/>
  <c r="V179" i="2" s="1"/>
  <c r="S179" i="2"/>
  <c r="A179" i="2"/>
  <c r="U178" i="2"/>
  <c r="V178" i="2" s="1"/>
  <c r="S178" i="2"/>
  <c r="A178" i="2"/>
  <c r="U177" i="2"/>
  <c r="V177" i="2" s="1"/>
  <c r="S177" i="2"/>
  <c r="A177" i="2"/>
  <c r="U176" i="2"/>
  <c r="V176" i="2" s="1"/>
  <c r="S176" i="2"/>
  <c r="A176" i="2"/>
  <c r="U175" i="2"/>
  <c r="V175" i="2" s="1"/>
  <c r="S175" i="2"/>
  <c r="A175" i="2"/>
  <c r="U174" i="2"/>
  <c r="V174" i="2" s="1"/>
  <c r="S174" i="2"/>
  <c r="A174" i="2"/>
  <c r="U173" i="2"/>
  <c r="V173" i="2" s="1"/>
  <c r="S173" i="2"/>
  <c r="A173" i="2"/>
  <c r="U172" i="2"/>
  <c r="V172" i="2" s="1"/>
  <c r="S172" i="2"/>
  <c r="A172" i="2"/>
  <c r="U171" i="2"/>
  <c r="V171" i="2" s="1"/>
  <c r="S171" i="2"/>
  <c r="A171" i="2"/>
  <c r="U170" i="2"/>
  <c r="V170" i="2" s="1"/>
  <c r="S170" i="2"/>
  <c r="A170" i="2"/>
  <c r="U169" i="2"/>
  <c r="V169" i="2" s="1"/>
  <c r="S169" i="2"/>
  <c r="A169" i="2"/>
  <c r="U168" i="2"/>
  <c r="V168" i="2" s="1"/>
  <c r="S168" i="2"/>
  <c r="A168" i="2"/>
  <c r="U167" i="2"/>
  <c r="V167" i="2" s="1"/>
  <c r="S167" i="2"/>
  <c r="A167" i="2"/>
  <c r="U166" i="2"/>
  <c r="V166" i="2" s="1"/>
  <c r="S166" i="2"/>
  <c r="A166" i="2"/>
  <c r="U165" i="2"/>
  <c r="V165" i="2" s="1"/>
  <c r="S165" i="2"/>
  <c r="A165" i="2"/>
  <c r="U164" i="2"/>
  <c r="V164" i="2" s="1"/>
  <c r="S164" i="2"/>
  <c r="A164" i="2"/>
  <c r="U163" i="2"/>
  <c r="V163" i="2" s="1"/>
  <c r="S163" i="2"/>
  <c r="A163" i="2"/>
  <c r="U162" i="2"/>
  <c r="V162" i="2" s="1"/>
  <c r="S162" i="2"/>
  <c r="A162" i="2"/>
  <c r="U161" i="2"/>
  <c r="V161" i="2" s="1"/>
  <c r="S161" i="2"/>
  <c r="A161" i="2"/>
  <c r="U160" i="2"/>
  <c r="V160" i="2" s="1"/>
  <c r="S160" i="2"/>
  <c r="A160" i="2"/>
  <c r="U159" i="2"/>
  <c r="V159" i="2" s="1"/>
  <c r="S159" i="2"/>
  <c r="A159" i="2"/>
  <c r="U158" i="2"/>
  <c r="V158" i="2" s="1"/>
  <c r="S158" i="2"/>
  <c r="A158" i="2"/>
  <c r="U157" i="2"/>
  <c r="V157" i="2" s="1"/>
  <c r="S157" i="2"/>
  <c r="A157" i="2"/>
  <c r="U156" i="2"/>
  <c r="V156" i="2" s="1"/>
  <c r="S156" i="2"/>
  <c r="A156" i="2"/>
  <c r="U155" i="2"/>
  <c r="V155" i="2" s="1"/>
  <c r="S155" i="2"/>
  <c r="A155" i="2"/>
  <c r="U154" i="2"/>
  <c r="V154" i="2" s="1"/>
  <c r="S154" i="2"/>
  <c r="A154" i="2"/>
  <c r="U153" i="2"/>
  <c r="V153" i="2" s="1"/>
  <c r="S153" i="2"/>
  <c r="A153" i="2"/>
  <c r="U152" i="2"/>
  <c r="V152" i="2" s="1"/>
  <c r="S152" i="2"/>
  <c r="A152" i="2"/>
  <c r="U151" i="2"/>
  <c r="V151" i="2" s="1"/>
  <c r="S151" i="2"/>
  <c r="A151" i="2"/>
  <c r="U150" i="2"/>
  <c r="V150" i="2" s="1"/>
  <c r="S150" i="2"/>
  <c r="U149" i="2"/>
  <c r="V149" i="2" s="1"/>
  <c r="S149" i="2"/>
  <c r="U148" i="2"/>
  <c r="V148" i="2" s="1"/>
  <c r="S148" i="2"/>
  <c r="U147" i="2"/>
  <c r="V147" i="2" s="1"/>
  <c r="S147" i="2"/>
  <c r="U146" i="2"/>
  <c r="V146" i="2" s="1"/>
  <c r="S146" i="2"/>
  <c r="U145" i="2"/>
  <c r="V145" i="2" s="1"/>
  <c r="S145" i="2"/>
  <c r="U144" i="2"/>
  <c r="V144" i="2" s="1"/>
  <c r="S144" i="2"/>
  <c r="U143" i="2"/>
  <c r="V143" i="2" s="1"/>
  <c r="S143" i="2"/>
  <c r="U142" i="2"/>
  <c r="V142" i="2" s="1"/>
  <c r="S142" i="2"/>
  <c r="U141" i="2"/>
  <c r="V141" i="2" s="1"/>
  <c r="S141" i="2"/>
  <c r="U140" i="2"/>
  <c r="V140" i="2" s="1"/>
  <c r="S140" i="2"/>
  <c r="U139" i="2"/>
  <c r="V139" i="2" s="1"/>
  <c r="S139" i="2"/>
  <c r="U138" i="2"/>
  <c r="V138" i="2" s="1"/>
  <c r="S138" i="2"/>
  <c r="U137" i="2"/>
  <c r="V137" i="2" s="1"/>
  <c r="S137" i="2"/>
  <c r="U136" i="2"/>
  <c r="V136" i="2" s="1"/>
  <c r="S136" i="2"/>
  <c r="U135" i="2"/>
  <c r="V135" i="2" s="1"/>
  <c r="S135" i="2"/>
  <c r="U134" i="2"/>
  <c r="V134" i="2" s="1"/>
  <c r="S134" i="2"/>
  <c r="U133" i="2"/>
  <c r="V133" i="2" s="1"/>
  <c r="S133" i="2"/>
  <c r="U132" i="2"/>
  <c r="V132" i="2" s="1"/>
  <c r="S132" i="2"/>
  <c r="U131" i="2"/>
  <c r="V131" i="2" s="1"/>
  <c r="S131" i="2"/>
  <c r="U130" i="2"/>
  <c r="V130" i="2" s="1"/>
  <c r="S130" i="2"/>
  <c r="U129" i="2"/>
  <c r="V129" i="2" s="1"/>
  <c r="S129" i="2"/>
  <c r="U128" i="2"/>
  <c r="V128" i="2" s="1"/>
  <c r="S128" i="2"/>
  <c r="U127" i="2"/>
  <c r="V127" i="2" s="1"/>
  <c r="S127" i="2"/>
  <c r="U126" i="2"/>
  <c r="V126" i="2" s="1"/>
  <c r="S126" i="2"/>
  <c r="U125" i="2"/>
  <c r="V125" i="2" s="1"/>
  <c r="S125" i="2"/>
  <c r="U124" i="2"/>
  <c r="V124" i="2" s="1"/>
  <c r="S124" i="2"/>
  <c r="U123" i="2"/>
  <c r="V123" i="2" s="1"/>
  <c r="S123" i="2"/>
  <c r="U122" i="2"/>
  <c r="V122" i="2" s="1"/>
  <c r="S122" i="2"/>
  <c r="U121" i="2"/>
  <c r="V121" i="2" s="1"/>
  <c r="S121" i="2"/>
  <c r="U120" i="2"/>
  <c r="V120" i="2" s="1"/>
  <c r="S120" i="2"/>
  <c r="U119" i="2"/>
  <c r="V119" i="2" s="1"/>
  <c r="S119" i="2"/>
  <c r="U118" i="2"/>
  <c r="V118" i="2" s="1"/>
  <c r="S118" i="2"/>
  <c r="U117" i="2"/>
  <c r="V117" i="2" s="1"/>
  <c r="S117" i="2"/>
  <c r="U116" i="2"/>
  <c r="V116" i="2" s="1"/>
  <c r="S116" i="2"/>
  <c r="U115" i="2"/>
  <c r="V115" i="2" s="1"/>
  <c r="S115" i="2"/>
  <c r="U114" i="2"/>
  <c r="V114" i="2" s="1"/>
  <c r="S114" i="2"/>
  <c r="U113" i="2"/>
  <c r="V113" i="2" s="1"/>
  <c r="S113" i="2"/>
  <c r="U112" i="2"/>
  <c r="V112" i="2" s="1"/>
  <c r="S112" i="2"/>
  <c r="U111" i="2"/>
  <c r="V111" i="2" s="1"/>
  <c r="S111" i="2"/>
  <c r="U110" i="2"/>
  <c r="V110" i="2" s="1"/>
  <c r="S110" i="2"/>
  <c r="U109" i="2"/>
  <c r="V109" i="2" s="1"/>
  <c r="S109" i="2"/>
  <c r="U108" i="2"/>
  <c r="V108" i="2" s="1"/>
  <c r="S108" i="2"/>
  <c r="U107" i="2"/>
  <c r="V107" i="2" s="1"/>
  <c r="S107" i="2"/>
  <c r="U106" i="2"/>
  <c r="V106" i="2" s="1"/>
  <c r="S106" i="2"/>
  <c r="U105" i="2"/>
  <c r="V105" i="2" s="1"/>
  <c r="S105" i="2"/>
  <c r="U104" i="2"/>
  <c r="V104" i="2" s="1"/>
  <c r="S104" i="2"/>
  <c r="U103" i="2"/>
  <c r="V103" i="2" s="1"/>
  <c r="S103" i="2"/>
  <c r="U102" i="2"/>
  <c r="V102" i="2" s="1"/>
  <c r="S102" i="2"/>
  <c r="U101" i="2"/>
  <c r="V101" i="2" s="1"/>
  <c r="S101" i="2"/>
  <c r="U100" i="2"/>
  <c r="V100" i="2" s="1"/>
  <c r="S100" i="2"/>
  <c r="U99" i="2"/>
  <c r="V99" i="2" s="1"/>
  <c r="S99" i="2"/>
  <c r="U98" i="2"/>
  <c r="V98" i="2" s="1"/>
  <c r="S98" i="2"/>
  <c r="U97" i="2"/>
  <c r="V97" i="2" s="1"/>
  <c r="S97" i="2"/>
  <c r="U96" i="2"/>
  <c r="V96" i="2" s="1"/>
  <c r="S96" i="2"/>
  <c r="U95" i="2"/>
  <c r="V95" i="2" s="1"/>
  <c r="S95" i="2"/>
  <c r="U94" i="2"/>
  <c r="V94" i="2" s="1"/>
  <c r="S94" i="2"/>
  <c r="U93" i="2"/>
  <c r="V93" i="2" s="1"/>
  <c r="S93" i="2"/>
  <c r="U92" i="2"/>
  <c r="V92" i="2" s="1"/>
  <c r="S92" i="2"/>
  <c r="U91" i="2"/>
  <c r="V91" i="2" s="1"/>
  <c r="S91" i="2"/>
  <c r="U90" i="2"/>
  <c r="V90" i="2" s="1"/>
  <c r="S90" i="2"/>
  <c r="U89" i="2"/>
  <c r="V89" i="2" s="1"/>
  <c r="S89" i="2"/>
  <c r="U88" i="2"/>
  <c r="V88" i="2" s="1"/>
  <c r="S88" i="2"/>
  <c r="U87" i="2"/>
  <c r="V87" i="2" s="1"/>
  <c r="S87" i="2"/>
  <c r="U86" i="2"/>
  <c r="V86" i="2" s="1"/>
  <c r="S86" i="2"/>
  <c r="U85" i="2"/>
  <c r="V85" i="2" s="1"/>
  <c r="S85" i="2"/>
  <c r="U84" i="2"/>
  <c r="V84" i="2" s="1"/>
  <c r="S84" i="2"/>
  <c r="U83" i="2"/>
  <c r="V83" i="2" s="1"/>
  <c r="S83" i="2"/>
  <c r="U82" i="2"/>
  <c r="V82" i="2" s="1"/>
  <c r="S82" i="2"/>
  <c r="U81" i="2"/>
  <c r="V81" i="2" s="1"/>
  <c r="S81" i="2"/>
  <c r="U80" i="2"/>
  <c r="V80" i="2" s="1"/>
  <c r="S80" i="2"/>
  <c r="U79" i="2"/>
  <c r="V79" i="2" s="1"/>
  <c r="S79" i="2"/>
  <c r="U78" i="2"/>
  <c r="V78" i="2" s="1"/>
  <c r="S78" i="2"/>
  <c r="U77" i="2"/>
  <c r="V77" i="2" s="1"/>
  <c r="S77" i="2"/>
  <c r="U76" i="2"/>
  <c r="V76" i="2" s="1"/>
  <c r="S76" i="2"/>
  <c r="U75" i="2"/>
  <c r="V75" i="2" s="1"/>
  <c r="S75" i="2"/>
  <c r="U74" i="2"/>
  <c r="V74" i="2" s="1"/>
  <c r="S74" i="2"/>
  <c r="U73" i="2"/>
  <c r="V73" i="2" s="1"/>
  <c r="S73" i="2"/>
  <c r="U72" i="2"/>
  <c r="V72" i="2" s="1"/>
  <c r="S72" i="2"/>
  <c r="U71" i="2"/>
  <c r="V71" i="2" s="1"/>
  <c r="S71" i="2"/>
  <c r="U70" i="2"/>
  <c r="V70" i="2" s="1"/>
  <c r="S70" i="2"/>
  <c r="U69" i="2"/>
  <c r="V69" i="2" s="1"/>
  <c r="S69" i="2"/>
  <c r="U68" i="2"/>
  <c r="V68" i="2" s="1"/>
  <c r="S68" i="2"/>
  <c r="U67" i="2"/>
  <c r="V67" i="2" s="1"/>
  <c r="S67" i="2"/>
  <c r="U66" i="2"/>
  <c r="V66" i="2" s="1"/>
  <c r="S66" i="2"/>
  <c r="U65" i="2"/>
  <c r="V65" i="2" s="1"/>
  <c r="S65" i="2"/>
  <c r="U64" i="2"/>
  <c r="V64" i="2" s="1"/>
  <c r="S64" i="2"/>
  <c r="U63" i="2"/>
  <c r="V63" i="2" s="1"/>
  <c r="S63" i="2"/>
  <c r="U62" i="2"/>
  <c r="V62" i="2" s="1"/>
  <c r="S62" i="2"/>
  <c r="U61" i="2"/>
  <c r="V61" i="2" s="1"/>
  <c r="S61" i="2"/>
  <c r="U60" i="2"/>
  <c r="V60" i="2" s="1"/>
  <c r="S60" i="2"/>
  <c r="U59" i="2"/>
  <c r="V59" i="2" s="1"/>
  <c r="S59" i="2"/>
  <c r="U58" i="2"/>
  <c r="V58" i="2" s="1"/>
  <c r="S58" i="2"/>
  <c r="U57" i="2"/>
  <c r="V57" i="2" s="1"/>
  <c r="S57" i="2"/>
  <c r="U56" i="2"/>
  <c r="V56" i="2" s="1"/>
  <c r="S56" i="2"/>
  <c r="U55" i="2"/>
  <c r="V55" i="2" s="1"/>
  <c r="S55" i="2"/>
  <c r="U54" i="2"/>
  <c r="V54" i="2" s="1"/>
  <c r="S54" i="2"/>
  <c r="U53" i="2"/>
  <c r="V53" i="2" s="1"/>
  <c r="S53" i="2"/>
  <c r="U52" i="2"/>
  <c r="V52" i="2" s="1"/>
  <c r="S52" i="2"/>
  <c r="U51" i="2"/>
  <c r="V51" i="2" s="1"/>
  <c r="S51" i="2"/>
  <c r="U50" i="2"/>
  <c r="V50" i="2" s="1"/>
  <c r="S50" i="2"/>
  <c r="U49" i="2"/>
  <c r="V49" i="2" s="1"/>
  <c r="S49" i="2"/>
  <c r="U48" i="2"/>
  <c r="V48" i="2" s="1"/>
  <c r="S48" i="2"/>
  <c r="U47" i="2"/>
  <c r="V47" i="2" s="1"/>
  <c r="S47" i="2"/>
  <c r="U46" i="2"/>
  <c r="V46" i="2" s="1"/>
  <c r="S46" i="2"/>
  <c r="U45" i="2"/>
  <c r="V45" i="2" s="1"/>
  <c r="S45" i="2"/>
  <c r="U44" i="2"/>
  <c r="V44" i="2" s="1"/>
  <c r="S44" i="2"/>
  <c r="U43" i="2"/>
  <c r="V43" i="2" s="1"/>
  <c r="S43" i="2"/>
  <c r="U42" i="2"/>
  <c r="V42" i="2" s="1"/>
  <c r="S42" i="2"/>
  <c r="U41" i="2"/>
  <c r="V41" i="2" s="1"/>
  <c r="S41" i="2"/>
  <c r="U40" i="2"/>
  <c r="V40" i="2" s="1"/>
  <c r="S40" i="2"/>
  <c r="U39" i="2"/>
  <c r="V39" i="2" s="1"/>
  <c r="S39" i="2"/>
  <c r="U38" i="2"/>
  <c r="V38" i="2" s="1"/>
  <c r="S38" i="2"/>
  <c r="U37" i="2"/>
  <c r="V37" i="2" s="1"/>
  <c r="S37" i="2"/>
  <c r="U36" i="2"/>
  <c r="V36" i="2" s="1"/>
  <c r="S36" i="2"/>
  <c r="U35" i="2"/>
  <c r="V35" i="2" s="1"/>
  <c r="S35" i="2"/>
  <c r="U34" i="2"/>
  <c r="V34" i="2" s="1"/>
  <c r="S34" i="2"/>
  <c r="U33" i="2"/>
  <c r="V33" i="2" s="1"/>
  <c r="S33" i="2"/>
  <c r="U32" i="2"/>
  <c r="V32" i="2" s="1"/>
  <c r="S32" i="2"/>
  <c r="U31" i="2"/>
  <c r="V31" i="2" s="1"/>
  <c r="S31" i="2"/>
  <c r="U30" i="2"/>
  <c r="V30" i="2" s="1"/>
  <c r="S30" i="2"/>
  <c r="U29" i="2"/>
  <c r="V29" i="2" s="1"/>
  <c r="S29" i="2"/>
  <c r="U28" i="2"/>
  <c r="V28" i="2" s="1"/>
  <c r="S28" i="2"/>
  <c r="U27" i="2"/>
  <c r="V27" i="2" s="1"/>
  <c r="S27" i="2"/>
  <c r="U26" i="2"/>
  <c r="V26" i="2" s="1"/>
  <c r="S26" i="2"/>
  <c r="U25" i="2"/>
  <c r="V25" i="2" s="1"/>
  <c r="S25" i="2"/>
  <c r="U24" i="2"/>
  <c r="V24" i="2" s="1"/>
  <c r="S24" i="2"/>
  <c r="U23" i="2"/>
  <c r="V23" i="2" s="1"/>
  <c r="S23" i="2"/>
  <c r="U22" i="2"/>
  <c r="V22" i="2" s="1"/>
  <c r="S22" i="2"/>
  <c r="U21" i="2"/>
  <c r="V21" i="2" s="1"/>
  <c r="S21" i="2"/>
  <c r="U20" i="2"/>
  <c r="V20" i="2" s="1"/>
  <c r="S20" i="2"/>
  <c r="U19" i="2"/>
  <c r="V19" i="2" s="1"/>
  <c r="S19" i="2"/>
  <c r="U18" i="2"/>
  <c r="V18" i="2" s="1"/>
  <c r="S18" i="2"/>
  <c r="U17" i="2"/>
  <c r="V17" i="2" s="1"/>
  <c r="S17" i="2"/>
  <c r="U16" i="2"/>
  <c r="V16" i="2" s="1"/>
  <c r="S16" i="2"/>
  <c r="U15" i="2"/>
  <c r="V15" i="2" s="1"/>
  <c r="S15" i="2"/>
  <c r="U14" i="2"/>
  <c r="V14" i="2" s="1"/>
  <c r="S14" i="2"/>
  <c r="U13" i="2"/>
  <c r="V13" i="2" s="1"/>
  <c r="S13" i="2"/>
  <c r="U12" i="2"/>
  <c r="V12" i="2" s="1"/>
  <c r="S12" i="2"/>
  <c r="U11" i="2"/>
  <c r="V11" i="2" s="1"/>
  <c r="S11" i="2"/>
  <c r="U10" i="2"/>
  <c r="V10" i="2" s="1"/>
  <c r="S10" i="2"/>
  <c r="U9" i="2"/>
  <c r="V9" i="2" s="1"/>
  <c r="S9" i="2"/>
  <c r="U8" i="2"/>
  <c r="V8" i="2" s="1"/>
  <c r="S8" i="2"/>
  <c r="U7" i="2"/>
  <c r="V7" i="2" s="1"/>
  <c r="S7" i="2"/>
  <c r="U6" i="2"/>
  <c r="V6" i="2" s="1"/>
  <c r="S6" i="2"/>
  <c r="U5" i="2"/>
  <c r="V5" i="2" s="1"/>
  <c r="S5" i="2"/>
  <c r="U4" i="2"/>
  <c r="V4" i="2" s="1"/>
  <c r="S4" i="2"/>
  <c r="U3" i="2"/>
  <c r="V3" i="2" s="1"/>
  <c r="S3" i="2"/>
  <c r="U2" i="2"/>
  <c r="V2" i="2" s="1"/>
  <c r="S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E1" authorId="0" shapeId="0" xr:uid="{0D12384B-05AC-4BF9-A621-D87FBFE05E8F}">
      <text>
        <r>
          <rPr>
            <b/>
            <sz val="9"/>
            <rFont val="宋体"/>
            <family val="3"/>
            <charset val="134"/>
          </rPr>
          <t>chenxiaofei 60069354:</t>
        </r>
        <r>
          <rPr>
            <sz val="9"/>
            <rFont val="宋体"/>
            <family val="3"/>
            <charset val="134"/>
          </rPr>
          <t xml:space="preserve">
与CES-告警规则-资源层级保持一致
</t>
        </r>
      </text>
    </comment>
    <comment ref="G1" authorId="0" shapeId="0" xr:uid="{8591D4F0-1FAE-48FC-BFD3-17BC0C06A991}">
      <text>
        <r>
          <rPr>
            <b/>
            <sz val="9"/>
            <rFont val="宋体"/>
            <family val="3"/>
            <charset val="134"/>
          </rPr>
          <t>chenxiaofei 60069354:</t>
        </r>
        <r>
          <rPr>
            <sz val="9"/>
            <rFont val="宋体"/>
            <family val="3"/>
            <charset val="134"/>
          </rPr>
          <t xml:space="preserve">
与CES-告警规则-告警策略中的指标名称保持一致
</t>
        </r>
      </text>
    </comment>
    <comment ref="K1" authorId="0" shapeId="0" xr:uid="{CF3CFA60-B934-4687-8017-5EFE7C147C9D}">
      <text>
        <r>
          <rPr>
            <b/>
            <sz val="9"/>
            <rFont val="宋体"/>
            <family val="3"/>
            <charset val="134"/>
          </rPr>
          <t>chenxiaofei 60069354:</t>
        </r>
        <r>
          <rPr>
            <sz val="9"/>
            <rFont val="宋体"/>
            <family val="3"/>
            <charset val="134"/>
          </rPr>
          <t xml:space="preserve">
指标上报到CES的周期，大部分为60秒
</t>
        </r>
      </text>
    </comment>
    <comment ref="O1" authorId="0" shapeId="0" xr:uid="{02B749A5-5EDE-40D0-9C43-A03E99BB9481}">
      <text>
        <r>
          <rPr>
            <b/>
            <sz val="9"/>
            <rFont val="宋体"/>
            <family val="3"/>
            <charset val="134"/>
          </rPr>
          <t>chenxiaofei 60069354:</t>
        </r>
        <r>
          <rPr>
            <sz val="9"/>
            <rFont val="宋体"/>
            <family val="3"/>
            <charset val="134"/>
          </rPr>
          <t xml:space="preserve">
底线指标：建议客户配置并提供对应配置建议的指标。
</t>
        </r>
      </text>
    </comment>
    <comment ref="P1" authorId="0" shapeId="0" xr:uid="{4027E04C-442E-49E3-956E-C53D9CEAA572}">
      <text>
        <r>
          <rPr>
            <b/>
            <sz val="9"/>
            <rFont val="宋体"/>
            <family val="3"/>
            <charset val="134"/>
          </rPr>
          <t>chenxiaofei 60069354:</t>
        </r>
        <r>
          <rPr>
            <sz val="9"/>
            <rFont val="宋体"/>
            <family val="3"/>
            <charset val="134"/>
          </rPr>
          <t xml:space="preserve">
与CES-告警规则-告警策略中的值类型选项保持一致
</t>
        </r>
      </text>
    </comment>
    <comment ref="Q1" authorId="0" shapeId="0" xr:uid="{041DC647-3141-43E9-87E9-4FE6AF576B64}">
      <text>
        <r>
          <rPr>
            <b/>
            <sz val="9"/>
            <rFont val="宋体"/>
            <family val="3"/>
            <charset val="134"/>
          </rPr>
          <t>chenxiaofei 60069354:</t>
        </r>
        <r>
          <rPr>
            <sz val="9"/>
            <rFont val="宋体"/>
            <family val="3"/>
            <charset val="134"/>
          </rPr>
          <t xml:space="preserve">
与CES-告警规则-告警策略中的触发次数选项保持一致
</t>
        </r>
      </text>
    </comment>
    <comment ref="R1" authorId="0" shapeId="0" xr:uid="{0DE28792-67A8-43E8-A21E-84867D0F46D2}">
      <text>
        <r>
          <rPr>
            <b/>
            <sz val="9"/>
            <rFont val="宋体"/>
            <family val="3"/>
            <charset val="134"/>
          </rPr>
          <t>chenxiaofei 60069354:</t>
        </r>
        <r>
          <rPr>
            <sz val="9"/>
            <rFont val="宋体"/>
            <family val="3"/>
            <charset val="134"/>
          </rPr>
          <t xml:space="preserve">
与CES-告警规则-告警策略中的符号选项保持一致
</t>
        </r>
      </text>
    </comment>
    <comment ref="U1" authorId="0" shapeId="0" xr:uid="{2F450B3D-B572-4726-ABF2-9BE281EDADFF}">
      <text>
        <r>
          <rPr>
            <b/>
            <sz val="9"/>
            <rFont val="宋体"/>
            <family val="3"/>
            <charset val="134"/>
          </rPr>
          <t>chenxiaofei 60069354:</t>
        </r>
        <r>
          <rPr>
            <sz val="9"/>
            <rFont val="宋体"/>
            <family val="3"/>
            <charset val="134"/>
          </rPr>
          <t xml:space="preserve">
与CES-告警规则-告警策略中的单位选项保持一致
</t>
        </r>
      </text>
    </comment>
    <comment ref="V1" authorId="0" shapeId="0" xr:uid="{9863A370-AB7D-41BE-BEF7-230CE6215B14}">
      <text>
        <r>
          <rPr>
            <b/>
            <sz val="9"/>
            <rFont val="宋体"/>
            <family val="3"/>
            <charset val="134"/>
          </rPr>
          <t>chenxiaofei 60069354:</t>
        </r>
        <r>
          <rPr>
            <sz val="9"/>
            <rFont val="宋体"/>
            <family val="3"/>
            <charset val="134"/>
          </rPr>
          <t xml:space="preserve">
每一小时告警一次是指告警发生后如果状态未恢复正常，每间隔一个小时重复发送一次告警通知。也就是告警静默周期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M1" authorId="0" shapeId="0" xr:uid="{0DA5507E-0578-471D-ADBF-41629C6E4AC6}">
      <text>
        <r>
          <rPr>
            <b/>
            <sz val="9"/>
            <rFont val="宋体"/>
            <charset val="134"/>
          </rPr>
          <t>chenxiaofei 60069354:</t>
        </r>
        <r>
          <rPr>
            <sz val="9"/>
            <rFont val="宋体"/>
            <charset val="134"/>
          </rPr>
          <t xml:space="preserve">
触发类型分为触发和累计触发。系统默认为触发。
触发表示当事件发生时，立即发送告警信息。
累计触发表示当事件在触发时间周期内累计触发预设的次数后，才能发生告警信息。
</t>
        </r>
      </text>
    </comment>
    <comment ref="N1" authorId="0" shapeId="0" xr:uid="{90B45712-6A79-4552-8AD3-F5CC4D481D40}">
      <text>
        <r>
          <rPr>
            <b/>
            <sz val="9"/>
            <rFont val="宋体"/>
            <charset val="134"/>
          </rPr>
          <t>chenxiaofei 60069354:</t>
        </r>
        <r>
          <rPr>
            <sz val="9"/>
            <rFont val="宋体"/>
            <charset val="134"/>
          </rPr>
          <t xml:space="preserve">
当触发类型为累计触发时，该参数可选。比如配置为5分钟，表示当该事件在5分钟内被累计触发达到触发次数时，向您发送告警信息
</t>
        </r>
      </text>
    </comment>
    <comment ref="O1" authorId="0" shapeId="0" xr:uid="{7C2CD8DB-1B69-4749-BCC4-9CAD4B2816D3}">
      <text>
        <r>
          <rPr>
            <b/>
            <sz val="9"/>
            <rFont val="宋体"/>
            <charset val="134"/>
          </rPr>
          <t>chenxiaofei 60069354:</t>
        </r>
        <r>
          <rPr>
            <sz val="9"/>
            <rFont val="宋体"/>
            <charset val="134"/>
          </rPr>
          <t xml:space="preserve">
当触发类型为累计触发时，该参数可选。表示事件发生在触发时间周期内累计触发的次数
</t>
        </r>
      </text>
    </comment>
    <comment ref="P1" authorId="0" shapeId="0" xr:uid="{F2F33BD6-0AF3-46D0-9C58-7B5CB895C704}">
      <text>
        <r>
          <rPr>
            <b/>
            <sz val="9"/>
            <rFont val="宋体"/>
            <charset val="134"/>
          </rPr>
          <t>chenxiaofei 60069354:</t>
        </r>
        <r>
          <rPr>
            <sz val="9"/>
            <rFont val="宋体"/>
            <charset val="134"/>
          </rPr>
          <t xml:space="preserve">
当触发类型为累计触发时，该参数可选。每一小时告警一次是指告警发生后如果状态未恢复正常，每间隔一个小时重复发送一次告警通知。也就是告警静默周期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K1" authorId="0" shapeId="0" xr:uid="{61E1A24A-749E-4645-B5C2-C748BE779BF5}">
      <text>
        <r>
          <rPr>
            <b/>
            <sz val="9"/>
            <rFont val="宋体"/>
            <charset val="134"/>
          </rPr>
          <t>chenxiaofei 60069354:</t>
        </r>
        <r>
          <rPr>
            <sz val="9"/>
            <rFont val="宋体"/>
            <charset val="134"/>
          </rPr>
          <t xml:space="preserve">
指标数据按照所设置的统计周期进行聚合，包括：15秒、30秒、1分钟、5分钟、15分钟、1小时。
</t>
        </r>
      </text>
    </comment>
    <comment ref="P1" authorId="0" shapeId="0" xr:uid="{95440DBB-62D0-42FB-8943-818685BC296A}">
      <text>
        <r>
          <rPr>
            <b/>
            <sz val="9"/>
            <rFont val="宋体"/>
            <charset val="134"/>
          </rPr>
          <t>chenxiaofei 60069354:</t>
        </r>
        <r>
          <rPr>
            <sz val="9"/>
            <rFont val="宋体"/>
            <charset val="134"/>
          </rPr>
          <t xml:space="preserve">
连续多少个周期满足阈值条件后，触发指标告警。连续周期的取值范围为1-30。
</t>
        </r>
      </text>
    </comment>
    <comment ref="Q1" authorId="0" shapeId="0" xr:uid="{E37C3789-F73C-43E0-9165-D666D215D080}">
      <text>
        <r>
          <rPr>
            <b/>
            <sz val="9"/>
            <rFont val="宋体"/>
            <charset val="134"/>
          </rPr>
          <t>chenxiaofei 60069354:</t>
        </r>
        <r>
          <rPr>
            <sz val="9"/>
            <rFont val="宋体"/>
            <charset val="134"/>
          </rPr>
          <t xml:space="preserve">
例如，设置“统计周期”设置为“5分钟”，连续周期为“2”，检查频率设置为“固定间隔 1 分钟”，则表示对5分钟内的指标数据进行计算，连续2个周期（2分钟）满足检测规则的条件，触发指标告警。
</t>
        </r>
      </text>
    </comment>
    <comment ref="S1" authorId="0" shapeId="0" xr:uid="{CDD2552C-1CAB-4EA7-9EEF-2D41173DD456}">
      <text>
        <r>
          <rPr>
            <b/>
            <sz val="9"/>
            <rFont val="宋体"/>
            <charset val="134"/>
          </rPr>
          <t>chenxiaofei 60069354:</t>
        </r>
        <r>
          <rPr>
            <sz val="9"/>
            <rFont val="宋体"/>
            <charset val="134"/>
          </rPr>
          <t xml:space="preserve">
连续多少个周期不满足告警条件，恢复告警。默认只监控一个周期，最多可监控30个连续周期指标数据。
例如，设置连续周期为“2”，则表示连续2个周期不满足告警条件，恢复告警。
</t>
        </r>
      </text>
    </comment>
    <comment ref="U1" authorId="0" shapeId="0" xr:uid="{AD8ECFF1-F0DA-4AAB-9C17-C3E18078E2D4}">
      <text>
        <r>
          <rPr>
            <b/>
            <sz val="9"/>
            <rFont val="宋体"/>
            <charset val="134"/>
          </rPr>
          <t>chenxiaofei 60069354:</t>
        </r>
        <r>
          <rPr>
            <sz val="9"/>
            <rFont val="宋体"/>
            <charset val="134"/>
          </rPr>
          <t xml:space="preserve">
连续周期内无指标数据产生或指标数据不足时系统的处理方式，根据业务需要开启或者关闭。默认只监控一个周期，最多可监控5个连续周期指标数据。
系统处理方式包括：超限阈值并发送告警、数据不足并发送事件、保持上一个状态、正常并发送清除告警。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H1" authorId="0" shapeId="0" xr:uid="{9576FD54-FAB8-4DD9-A4C3-EA8AACF9A3D8}">
      <text>
        <r>
          <rPr>
            <b/>
            <sz val="9"/>
            <rFont val="宋体"/>
            <charset val="134"/>
          </rPr>
          <t>chenxiaofei 60069354:</t>
        </r>
        <r>
          <rPr>
            <sz val="9"/>
            <rFont val="宋体"/>
            <charset val="134"/>
          </rPr>
          <t xml:space="preserve">
选择立即触发，无需填写监控周期、累计次数、频率列；
选择累计触发，需要填写监控周期、累计次数、频率列；
</t>
        </r>
      </text>
    </comment>
    <comment ref="I1" authorId="0" shapeId="0" xr:uid="{949A0E17-2788-441B-A83B-C4A0BCB42DF0}">
      <text>
        <r>
          <rPr>
            <b/>
            <sz val="9"/>
            <rFont val="宋体"/>
            <charset val="134"/>
          </rPr>
          <t>chenxiaofei 60069354:</t>
        </r>
        <r>
          <rPr>
            <sz val="9"/>
            <rFont val="宋体"/>
            <charset val="134"/>
          </rPr>
          <t xml:space="preserve">
“触发方式”选择累计触发需要填写
</t>
        </r>
      </text>
    </comment>
    <comment ref="J1" authorId="0" shapeId="0" xr:uid="{19B2F1D8-1F8F-4A77-B994-A37985A2F581}">
      <text>
        <r>
          <rPr>
            <b/>
            <sz val="9"/>
            <rFont val="宋体"/>
            <charset val="134"/>
          </rPr>
          <t>chenxiaofei 60069354:</t>
        </r>
        <r>
          <rPr>
            <sz val="9"/>
            <rFont val="宋体"/>
            <charset val="134"/>
          </rPr>
          <t xml:space="preserve">
“触发方式”选择累计触发需要填写。数值为介于1-100的整数。
</t>
        </r>
      </text>
    </comment>
    <comment ref="K1" authorId="0" shapeId="0" xr:uid="{A3BA59F3-B304-4748-A59D-4AB135E88A5F}">
      <text>
        <r>
          <rPr>
            <b/>
            <sz val="9"/>
            <rFont val="宋体"/>
            <charset val="134"/>
          </rPr>
          <t>chenxiaofei 60069354:</t>
        </r>
        <r>
          <rPr>
            <sz val="9"/>
            <rFont val="宋体"/>
            <charset val="134"/>
          </rPr>
          <t xml:space="preserve">
“触发方式”选择累计触发需要填写
</t>
        </r>
      </text>
    </comment>
  </commentList>
</comments>
</file>

<file path=xl/sharedStrings.xml><?xml version="1.0" encoding="utf-8"?>
<sst xmlns="http://schemas.openxmlformats.org/spreadsheetml/2006/main" count="15336" uniqueCount="2313">
  <si>
    <t>序号</t>
  </si>
  <si>
    <t>云服务中文名称</t>
  </si>
  <si>
    <t>命名空间</t>
  </si>
  <si>
    <t>云服务简称</t>
  </si>
  <si>
    <t>指标维度-中文</t>
  </si>
  <si>
    <t>指标维度</t>
  </si>
  <si>
    <t>指标名称</t>
  </si>
  <si>
    <t>指标ID</t>
  </si>
  <si>
    <t>指标描述</t>
  </si>
  <si>
    <t>指标状态</t>
  </si>
  <si>
    <t>采集周期（秒）</t>
  </si>
  <si>
    <t>上报数据类型</t>
  </si>
  <si>
    <t>默认单位</t>
  </si>
  <si>
    <t>是否评审</t>
  </si>
  <si>
    <t>指标级别</t>
  </si>
  <si>
    <t>指标值类型</t>
  </si>
  <si>
    <t>连续触发次数</t>
  </si>
  <si>
    <t>比较关系</t>
  </si>
  <si>
    <t>重要告警阈值</t>
  </si>
  <si>
    <t>紧急告警阈值</t>
  </si>
  <si>
    <t>单位</t>
  </si>
  <si>
    <t>告警频率</t>
  </si>
  <si>
    <t>备注</t>
  </si>
  <si>
    <t>指标OA是否存在</t>
  </si>
  <si>
    <t>底线指标是否需要在OA配置</t>
  </si>
  <si>
    <t>是否会上报数据</t>
  </si>
  <si>
    <t>是否历史底线指标</t>
  </si>
  <si>
    <t>历史-值类型</t>
  </si>
  <si>
    <t>历史-连续触发次数</t>
  </si>
  <si>
    <t>运算符</t>
  </si>
  <si>
    <t>重要告警阈值或参数</t>
  </si>
  <si>
    <t>紧急告警阈值或参数</t>
  </si>
  <si>
    <t>告警周期</t>
  </si>
  <si>
    <t>唯一指标标识</t>
  </si>
  <si>
    <t>支柱-维度</t>
  </si>
  <si>
    <t>数据上报</t>
  </si>
  <si>
    <t>入方向带宽</t>
  </si>
  <si>
    <t>network_incoming_bits_rate</t>
  </si>
  <si>
    <t>online</t>
  </si>
  <si>
    <t>float</t>
  </si>
  <si>
    <t>bit/s</t>
  </si>
  <si>
    <t>出方向带宽</t>
  </si>
  <si>
    <t>network_outgoing_bits_rate</t>
  </si>
  <si>
    <t>Count</t>
  </si>
  <si>
    <t>ms</t>
  </si>
  <si>
    <t>int</t>
  </si>
  <si>
    <t>次</t>
  </si>
  <si>
    <t>error_4xx</t>
  </si>
  <si>
    <t>5xx异常次数</t>
  </si>
  <si>
    <t>error_5xx</t>
  </si>
  <si>
    <t>全域弹性公网IP和带宽</t>
  </si>
  <si>
    <t>SYS.GEIP</t>
  </si>
  <si>
    <t>GEIP</t>
  </si>
  <si>
    <t>全域弹性公网ip</t>
  </si>
  <si>
    <t>geip_global_eip_id</t>
  </si>
  <si>
    <t>是</t>
  </si>
  <si>
    <t>入云带宽使用率</t>
  </si>
  <si>
    <t>downstream_bandwidth_usage</t>
  </si>
  <si>
    <t>%</t>
  </si>
  <si>
    <t>底线指标</t>
  </si>
  <si>
    <t>原始值</t>
  </si>
  <si>
    <t>&gt;</t>
  </si>
  <si>
    <t>1小时</t>
  </si>
  <si>
    <t>环比波动20%</t>
  </si>
  <si>
    <t>&gt;80%</t>
  </si>
  <si>
    <t>出云带宽使用率</t>
  </si>
  <si>
    <t>upstream_bandwidth_usage</t>
  </si>
  <si>
    <t>全域弹性公网ip段</t>
  </si>
  <si>
    <t>geip_global_eip_segments_id</t>
  </si>
  <si>
    <t>公网带宽</t>
  </si>
  <si>
    <t>geip_internet_bandwidth_id</t>
  </si>
  <si>
    <t>instance_id</t>
  </si>
  <si>
    <t>CPU使用率</t>
  </si>
  <si>
    <t>cpu_util</t>
  </si>
  <si>
    <t>gpu_status</t>
  </si>
  <si>
    <t>虚拟机上GPU健康状态，是一个综合指标，0代表健康，1代表亚健康，2代表故障</t>
  </si>
  <si>
    <t>内存使用率</t>
  </si>
  <si>
    <t>mem_util</t>
  </si>
  <si>
    <t>该指标用于统计测量对象的内存利用率</t>
  </si>
  <si>
    <t>磁盘使用率</t>
  </si>
  <si>
    <t>disk_util_inband</t>
  </si>
  <si>
    <t>该指标用于统计测量对象的磁盘利用率</t>
  </si>
  <si>
    <t>byte/s</t>
  </si>
  <si>
    <t>个</t>
  </si>
  <si>
    <t>(Agent) CPU使用率</t>
  </si>
  <si>
    <t>cpu_usage</t>
  </si>
  <si>
    <t>(Agent) 内存使用率</t>
  </si>
  <si>
    <t>mem_usedPercent</t>
  </si>
  <si>
    <t>(Agent) 5分钟平均负载</t>
  </si>
  <si>
    <t>load_average5</t>
  </si>
  <si>
    <t>(Agent) inode已使用占比</t>
  </si>
  <si>
    <t>disk_inodesUsedPercent</t>
  </si>
  <si>
    <t>(Agent) 磁盘I/O使用率</t>
  </si>
  <si>
    <t>disk_ioUtils</t>
  </si>
  <si>
    <t>(Agent) 磁盘使用率</t>
  </si>
  <si>
    <t>disk_usedPercent</t>
  </si>
  <si>
    <t>云数据库 GaussDB</t>
  </si>
  <si>
    <t>SYS.GAUSSDBV5</t>
  </si>
  <si>
    <t>GAUSSDB</t>
  </si>
  <si>
    <t>云数据库 GaussDB实例</t>
  </si>
  <si>
    <t>gaussdbv5_instance_id</t>
  </si>
  <si>
    <t>实例数据磁盘已使用百分比</t>
  </si>
  <si>
    <t>rds007_instance_disk_usage</t>
  </si>
  <si>
    <t>该指标用于统计测量对象的实例数据磁盘使用率，该值为实时值</t>
  </si>
  <si>
    <t>us</t>
  </si>
  <si>
    <t>云数据库 GaussDB实例-云数据库 GaussDB节点</t>
  </si>
  <si>
    <t>gaussdbv5_instance_id,gaussdbv5_node_id</t>
  </si>
  <si>
    <t>rds001_cpu_util</t>
  </si>
  <si>
    <t>该指标用于统计测量对象的CPU使用率</t>
  </si>
  <si>
    <t>rds002_mem_util</t>
  </si>
  <si>
    <t>该指标用于统计测量对象的内存使用率</t>
  </si>
  <si>
    <t>Byte/s</t>
  </si>
  <si>
    <t>磁盘 io 带宽占用率</t>
  </si>
  <si>
    <t>io_bandwidth_usage</t>
  </si>
  <si>
    <t>当前磁盘io带宽与磁盘最大带宽比值</t>
  </si>
  <si>
    <t>IOPS 使用率</t>
  </si>
  <si>
    <t>iops_usage</t>
  </si>
  <si>
    <t>当前iops与磁盘最大iops比值</t>
  </si>
  <si>
    <t>云数据库 GaussDB实例-云数据库 GaussDB节点-云数据库 GaussDB组件</t>
  </si>
  <si>
    <t>gaussdbv5_instance_id,gaussdbv5_node_id,gaussdbv5_component_id</t>
  </si>
  <si>
    <t>磁盘已使用百分比</t>
  </si>
  <si>
    <t>rds010_disk_usage</t>
  </si>
  <si>
    <t>该指标用于统计测量对象的节点数据磁盘使用率，该值为实时值</t>
  </si>
  <si>
    <t>s</t>
  </si>
  <si>
    <t>在线会话率</t>
  </si>
  <si>
    <t>rds055_online_ratio</t>
  </si>
  <si>
    <t>该指标用于统计CN（分布式）/主DN（集中式）上的在线会话比例，该值为实时值</t>
  </si>
  <si>
    <t>线程池使用率</t>
  </si>
  <si>
    <t>rds070_thread_pool</t>
  </si>
  <si>
    <t>该指标用于统计CN和DN的线程池使用率，该值为实时值</t>
  </si>
  <si>
    <t>动态内存使用率</t>
  </si>
  <si>
    <t>rds065_dynamic_used_memory_usage</t>
  </si>
  <si>
    <t>该指标用于统计测量对象的动态内存使用率，该值为实时值</t>
  </si>
  <si>
    <t>DN组件状态</t>
  </si>
  <si>
    <t>rds098_dn_instance_status</t>
  </si>
  <si>
    <t>该指标用于表示DN组件状态，该值为实时值，1代表正常(Primary)，2代表正常(Standby)，3代表正常(Main Standby)，4代表正常(Cascade Standby)，10代表Catchup(备机追主机xlog)，20代表备机：连接正常，复制异常，21代表连接异常</t>
  </si>
  <si>
    <t>=</t>
  </si>
  <si>
    <t>接口</t>
  </si>
  <si>
    <t>平均时延</t>
  </si>
  <si>
    <t>毫秒</t>
  </si>
  <si>
    <t>avg_latency</t>
  </si>
  <si>
    <t>次/分钟</t>
  </si>
  <si>
    <t>req_count_5xx</t>
  </si>
  <si>
    <t>云防火墙</t>
  </si>
  <si>
    <t>SYS.CFW</t>
  </si>
  <si>
    <t>CFW</t>
  </si>
  <si>
    <t>云防火墙实例</t>
  </si>
  <si>
    <t>fw_instance_id</t>
  </si>
  <si>
    <t>防护带宽使用率</t>
  </si>
  <si>
    <t>protection_bandwidth_usage</t>
  </si>
  <si>
    <t>该指标用于统计防护对象的防护带宽使用率。</t>
  </si>
  <si>
    <t>5分钟</t>
  </si>
  <si>
    <t>性能高效</t>
  </si>
  <si>
    <t>互联网防护带宽使用率</t>
  </si>
  <si>
    <t>internet_protection_bandwidth_usage_rate</t>
  </si>
  <si>
    <t>该指标为防火墙互联网防护对象带宽使用率。</t>
  </si>
  <si>
    <t>VPC间防护带宽使用率</t>
  </si>
  <si>
    <t>vpc_protection_bandwidth_usage_rate</t>
  </si>
  <si>
    <t>该指标为防火墙VPC间防护对象带宽使用率。</t>
  </si>
  <si>
    <t>弹性文件服务Turbo</t>
  </si>
  <si>
    <t>SYS.EFS</t>
  </si>
  <si>
    <t>SFSTurbo</t>
  </si>
  <si>
    <t>实例</t>
  </si>
  <si>
    <t>efs_instance_id</t>
  </si>
  <si>
    <t>该指标用于测量读IO负载</t>
  </si>
  <si>
    <t>该指标用于测量写IO负载</t>
  </si>
  <si>
    <t>容量使用率</t>
  </si>
  <si>
    <t>used_capacity_percent</t>
  </si>
  <si>
    <t>该指标用于统计文件系统已用容量占总容量的比例</t>
  </si>
  <si>
    <t>inode使用率</t>
  </si>
  <si>
    <t>used_inode_percent</t>
  </si>
  <si>
    <t>该指标用于统计文件系统使用的inode比率。</t>
  </si>
  <si>
    <t>count</t>
  </si>
  <si>
    <t>堆内存使用率</t>
  </si>
  <si>
    <t>连接数使用率</t>
  </si>
  <si>
    <t>连接数</t>
  </si>
  <si>
    <t>double</t>
  </si>
  <si>
    <t>long</t>
  </si>
  <si>
    <t>cluster_id</t>
  </si>
  <si>
    <t>云数据库 GeminiDB</t>
  </si>
  <si>
    <t>SYS.NoSQL</t>
  </si>
  <si>
    <t>GeminiDB</t>
  </si>
  <si>
    <t>Cassandra-Cassandra节点</t>
  </si>
  <si>
    <t>cassandra_cluster_id,cassandra_node_id</t>
  </si>
  <si>
    <t>cassandra001_cpu_usage</t>
  </si>
  <si>
    <t>统计测量对象的CPU使用率。</t>
  </si>
  <si>
    <t>cassandra002_mem_usage</t>
  </si>
  <si>
    <t>统计测量对象的内存使用率。</t>
  </si>
  <si>
    <t>读耗时</t>
  </si>
  <si>
    <t>cassandra015_read_latency</t>
  </si>
  <si>
    <t>统计数据库读请求的平均耗时。</t>
  </si>
  <si>
    <t>存储容量使用率</t>
  </si>
  <si>
    <t>nosql005_disk_usage</t>
  </si>
  <si>
    <t>该指标为存储容量使用率</t>
  </si>
  <si>
    <t>写耗时</t>
  </si>
  <si>
    <t>cassandra016_write_latency</t>
  </si>
  <si>
    <t>统计数据库写请求的平均耗时。</t>
  </si>
  <si>
    <t>最大写时延</t>
  </si>
  <si>
    <t>cassandra166_write_max_latency</t>
  </si>
  <si>
    <t>最大读时延</t>
  </si>
  <si>
    <t>cassandra167_read_max_latency</t>
  </si>
  <si>
    <t>CPU利用率</t>
  </si>
  <si>
    <t>nosql001_cpu_usage</t>
  </si>
  <si>
    <t>该指标为从系统层面采集的CPU使用率</t>
  </si>
  <si>
    <t>内存利用率</t>
  </si>
  <si>
    <t>nosql002_mem_usage</t>
  </si>
  <si>
    <t>该指标为从系统层面采集的内存使用率</t>
  </si>
  <si>
    <t>InfluxDB-InfluxDB节点</t>
  </si>
  <si>
    <t>influxdb_cluster_id,influxdb_node_id</t>
  </si>
  <si>
    <t>gemini001_cpu_usage</t>
  </si>
  <si>
    <t>该指标为从系统层面采集的CPU使用率。</t>
  </si>
  <si>
    <t>gemini002_mem_usage</t>
  </si>
  <si>
    <t>该指标为从系统层面采集的内存使用率。</t>
  </si>
  <si>
    <t>连接使用率</t>
  </si>
  <si>
    <t>influxdb008_connection_usage</t>
  </si>
  <si>
    <t>描述客户端连接数使用百分比。</t>
  </si>
  <si>
    <t>冷存储容量使用率</t>
  </si>
  <si>
    <t>influxdb010_cold_disk_usage</t>
  </si>
  <si>
    <t>该指标为实例的冷存储容量使用率</t>
  </si>
  <si>
    <t>MongoDB-Mongodb节点</t>
  </si>
  <si>
    <t>mongodb_cluster_id,mongodb_node_id</t>
  </si>
  <si>
    <t>当前活动连接数百分比</t>
  </si>
  <si>
    <t>mongodb007_connections_usage</t>
  </si>
  <si>
    <t>该指标用于统计试图连接到实例节点的连接数占可用连接数百分比</t>
  </si>
  <si>
    <t>主备延时</t>
  </si>
  <si>
    <t>该指标用于统计Primary节点和Secondary节点之间的复制延时</t>
  </si>
  <si>
    <t>秒</t>
  </si>
  <si>
    <t>Redis</t>
  </si>
  <si>
    <t>redis_cluster_id</t>
  </si>
  <si>
    <t>实例级发送总流量</t>
  </si>
  <si>
    <t>redis688_qps_send_total</t>
  </si>
  <si>
    <t>描述该实例所发送的总流量，反映应用侧流量大小</t>
  </si>
  <si>
    <t>bytes/Second</t>
  </si>
  <si>
    <t>MiB/s</t>
  </si>
  <si>
    <t>实例级接收总流量</t>
  </si>
  <si>
    <t>redis689_qps_receive_total</t>
  </si>
  <si>
    <t>描述该实例所接收的总流量，反映应用侧流量大小</t>
  </si>
  <si>
    <t>实例的平均时延</t>
  </si>
  <si>
    <t>redis803_cluster_all_avg_usec</t>
  </si>
  <si>
    <t>该指标为实例的平均时延</t>
  </si>
  <si>
    <t>&gt;=</t>
  </si>
  <si>
    <t>实例的p99时延</t>
  </si>
  <si>
    <t>redis804_cluster_all_p99_usec</t>
  </si>
  <si>
    <t>该指标为实例的p99时延</t>
  </si>
  <si>
    <t>实例的存储容量利用率</t>
  </si>
  <si>
    <t>redis816_cluster_disk_usage</t>
  </si>
  <si>
    <t>该指标为实例的存储容量利用率</t>
  </si>
  <si>
    <t>实例ELB入带宽使用率</t>
  </si>
  <si>
    <t>redis820_cluster_in_bandwidth_usage</t>
  </si>
  <si>
    <t>实例接收的总流量和ELB最大带宽的百分比。若入带宽使用率达到100%，说明已经超出ELB规格最大带宽。请审视业务是否合理，或进行业务拆分</t>
  </si>
  <si>
    <t>实例ELB出带宽使用率</t>
  </si>
  <si>
    <t>redis821_cluster_out_bandwidth_usage</t>
  </si>
  <si>
    <t>实例发送的总流量和ELB最大带宽的百分比。</t>
  </si>
  <si>
    <t>Redis-Redis节点</t>
  </si>
  <si>
    <t>redis_cluster_id,redis_node_id</t>
  </si>
  <si>
    <t>redis669_connection_usage</t>
  </si>
  <si>
    <t>采集周期内的连接数使用率，计算方法为：已使用连接数÷总连接数。</t>
  </si>
  <si>
    <t>特别注意默认单位是us</t>
  </si>
  <si>
    <t>弹性负载均衡</t>
  </si>
  <si>
    <t>SYS.ELB</t>
  </si>
  <si>
    <t>ELB</t>
  </si>
  <si>
    <t>并发连接数</t>
  </si>
  <si>
    <t>m1_cps</t>
  </si>
  <si>
    <t>测量对象处理的并发连接个数。</t>
  </si>
  <si>
    <t>活跃连接数</t>
  </si>
  <si>
    <t>新建连接数</t>
  </si>
  <si>
    <t>m4_ncps</t>
  </si>
  <si>
    <t>测量对象每秒新建连接的个数。</t>
  </si>
  <si>
    <t>个/秒</t>
  </si>
  <si>
    <t>异常主机数</t>
  </si>
  <si>
    <t>m9_abnormal_servers</t>
  </si>
  <si>
    <t>测量对象中健康检查异常的后端服务器个数。</t>
  </si>
  <si>
    <t>lbaas_instance_id</t>
  </si>
  <si>
    <t>4层并发连接使用率</t>
  </si>
  <si>
    <t>l4_con_usage</t>
  </si>
  <si>
    <t>4层的ELB实例并发连接数使用率。</t>
  </si>
  <si>
    <t>10分钟</t>
  </si>
  <si>
    <t>4层入带宽使用率</t>
  </si>
  <si>
    <t>l4_in_bps_usage</t>
  </si>
  <si>
    <t>4层的ELB实例入带宽使用率。</t>
  </si>
  <si>
    <t>4层新建连接数使用率</t>
  </si>
  <si>
    <t>l4_ncps_usage</t>
  </si>
  <si>
    <t>4层的ELB实例新建连接数使用率。</t>
  </si>
  <si>
    <t>4层出带宽使用率</t>
  </si>
  <si>
    <t>l4_out_bps_usage</t>
  </si>
  <si>
    <t>4层的ELB实例出带宽使用率。</t>
  </si>
  <si>
    <t>7层并发连接使用率</t>
  </si>
  <si>
    <t>l7_con_usage</t>
  </si>
  <si>
    <t>7层的ELB实例并发连接数使用率。</t>
  </si>
  <si>
    <t>7层入带宽使用率</t>
  </si>
  <si>
    <t>l7_in_bps_usage</t>
  </si>
  <si>
    <t>7层的ELB实例入带宽使用率。</t>
  </si>
  <si>
    <t>7层新建连接数使用率</t>
  </si>
  <si>
    <t>l7_ncps_usage</t>
  </si>
  <si>
    <t>7层的ELB实例新建连接数使用率。</t>
  </si>
  <si>
    <t>7层出带宽使用率</t>
  </si>
  <si>
    <t>l7_out_bps_usage</t>
  </si>
  <si>
    <t>7层的ELB实例出带宽使用率。</t>
  </si>
  <si>
    <t>7层查询速率使用率</t>
  </si>
  <si>
    <t>l7_qps_usage</t>
  </si>
  <si>
    <t>7层的ELB实例查询速率使用率。</t>
  </si>
  <si>
    <t>共享型ELB配置此指标</t>
  </si>
  <si>
    <t>资源稳定</t>
  </si>
  <si>
    <t>7层协议响应状态码(5XX)</t>
  </si>
  <si>
    <t>mf_l7_http_5xx</t>
  </si>
  <si>
    <t>测量对象每秒返回7层5XX系列响应状态码的个数。</t>
  </si>
  <si>
    <t>7层协议RT平均值</t>
  </si>
  <si>
    <t>m14_l7_rt</t>
  </si>
  <si>
    <t>测量对象7层平均响应时间。</t>
  </si>
  <si>
    <t>丢弃连接数</t>
  </si>
  <si>
    <t>dropped_connections</t>
  </si>
  <si>
    <t>测量对象每秒丢弃连接的个数。</t>
  </si>
  <si>
    <t>丢弃数据包</t>
  </si>
  <si>
    <t>dropped_packets</t>
  </si>
  <si>
    <t>测量对象每秒丢弃数据报文的个数。</t>
  </si>
  <si>
    <t>丢弃网络带宽</t>
  </si>
  <si>
    <t>dropped_traffic</t>
  </si>
  <si>
    <t>测量对象丢弃网络带宽。</t>
  </si>
  <si>
    <t>负载均衡响应状态码(5XX)</t>
  </si>
  <si>
    <t>elb_http_5xx</t>
  </si>
  <si>
    <t>负载均衡每秒返回5XX响应状态码的个数。</t>
  </si>
  <si>
    <t>七层5XX请求占比</t>
  </si>
  <si>
    <t>l7_5xx_ratio</t>
  </si>
  <si>
    <t>七层5XX响应状态码的个数占比。</t>
  </si>
  <si>
    <t>七层2XX请求占比</t>
  </si>
  <si>
    <t>l7_2xx_ratio</t>
  </si>
  <si>
    <t>七层2XX响应状态码的个数占比。</t>
  </si>
  <si>
    <t>弹性负载均衡-可用区</t>
  </si>
  <si>
    <t>lbaas_instance_id,available_zone</t>
  </si>
  <si>
    <t>弹性负载均衡-监听器</t>
  </si>
  <si>
    <t>lbaas_instance_id,lbaas_listener_id</t>
  </si>
  <si>
    <t>环比下降</t>
  </si>
  <si>
    <t>环比波动</t>
  </si>
  <si>
    <t>20 </t>
  </si>
  <si>
    <t>环比上升</t>
  </si>
  <si>
    <t>&lt;=</t>
  </si>
  <si>
    <t>弹性负载均衡-后端主机组</t>
  </si>
  <si>
    <t>lbaas_instance_id,lbaas_pool_id</t>
  </si>
  <si>
    <t>云数据库 TaurusDB</t>
  </si>
  <si>
    <t>SYS.GAUSSDB</t>
  </si>
  <si>
    <t>TaurusDB</t>
  </si>
  <si>
    <t>该指标用于统计测量对象的CPU利用率</t>
  </si>
  <si>
    <t>比率</t>
  </si>
  <si>
    <t>缓冲池命中率</t>
  </si>
  <si>
    <t>磁盘利用率</t>
  </si>
  <si>
    <t>rds039_disk_util</t>
  </si>
  <si>
    <t>硬盘读吞吐量</t>
  </si>
  <si>
    <t>硬盘写吞吐量</t>
  </si>
  <si>
    <t>rds072_conn_usage</t>
  </si>
  <si>
    <t>实时复制时延</t>
  </si>
  <si>
    <t>rds073_replication_delay</t>
  </si>
  <si>
    <t>该指标为备库或只读与主库的实时延迟，对应seconds_behind_master。该值为实时值</t>
  </si>
  <si>
    <t>慢日志个数统计</t>
  </si>
  <si>
    <t>rds074_slow_queries</t>
  </si>
  <si>
    <t>个/分钟</t>
  </si>
  <si>
    <t>硬盘读耗时</t>
  </si>
  <si>
    <t>硬盘写耗时</t>
  </si>
  <si>
    <t>活跃连接数使用率</t>
  </si>
  <si>
    <t>rds_conn_active_usage</t>
  </si>
  <si>
    <t>该指标用于统计活跃连接数使用率</t>
  </si>
  <si>
    <t>TaurusDB实例-TaurusDB节点</t>
  </si>
  <si>
    <t>gaussdb_mysql_instance_id,gaussdb_mysql_node_id</t>
  </si>
  <si>
    <t>gaussdb_mysql001_cpu_util</t>
  </si>
  <si>
    <t>gaussdb_mysql002_mem_util</t>
  </si>
  <si>
    <t>gaussdb_mysql011_innodb_buf_hit</t>
  </si>
  <si>
    <t>该指标用于统计该段时间读命中与读请求数比例</t>
  </si>
  <si>
    <t>&lt;</t>
  </si>
  <si>
    <t>gaussdb_mysql072_conn_usage</t>
  </si>
  <si>
    <t>该指标用于统计当前已用的数据库连接数占最大连接数的百分比</t>
  </si>
  <si>
    <t>数据同步延迟</t>
  </si>
  <si>
    <t>特别注意默认单位是s</t>
  </si>
  <si>
    <t>数据盘使用率</t>
  </si>
  <si>
    <t>gaussdb_mysql113_data_disk_used_ratio</t>
  </si>
  <si>
    <t>该指标用于统计数据盘的使用率，该磁盘主要用于暂存数据库运行过程中产生的临时表、临时文件等。</t>
  </si>
  <si>
    <t>gaussdb_mysql119_disk_used_ratio</t>
  </si>
  <si>
    <t>该指标用于统计测量对象的磁盘使用率。包周期实例，磁盘使用率=使用磁盘空间/已购买的包周期磁盘空间。按需实例，磁盘使用率=使用磁盘空间/128TB。</t>
  </si>
  <si>
    <t>调用失败次数</t>
  </si>
  <si>
    <t>failed_called_times</t>
  </si>
  <si>
    <t>平均延迟毫秒数</t>
  </si>
  <si>
    <t>内容分发网络</t>
  </si>
  <si>
    <t>SYS.CDN</t>
  </si>
  <si>
    <t>CDN</t>
  </si>
  <si>
    <t>域名</t>
  </si>
  <si>
    <t>domain_name</t>
  </si>
  <si>
    <t>带宽</t>
  </si>
  <si>
    <t>bw</t>
  </si>
  <si>
    <t>域名一分钟内的平均带宽（ 计算方式：一分钟内流量*8/60）。</t>
  </si>
  <si>
    <t>10 </t>
  </si>
  <si>
    <t>根据业务实际调整</t>
  </si>
  <si>
    <t>不确认</t>
  </si>
  <si>
    <t>回源失败率</t>
  </si>
  <si>
    <t>bs_fail_rate</t>
  </si>
  <si>
    <t>域名一分钟内回源失败次数占比。</t>
  </si>
  <si>
    <t>3 </t>
  </si>
  <si>
    <t>状态码汇总4xx</t>
  </si>
  <si>
    <t>http_code_4xx</t>
  </si>
  <si>
    <t>域名一分钟内HTTP状态码4xx次数汇总。</t>
  </si>
  <si>
    <t>状态码4xx占比</t>
  </si>
  <si>
    <t>http_code_4xx_rate</t>
  </si>
  <si>
    <t>域名一分钟内HTTP状态码4xx次数占比。</t>
  </si>
  <si>
    <t>状态码汇总5xx</t>
  </si>
  <si>
    <t>http_code_5xx</t>
  </si>
  <si>
    <t>域名一分钟内HTTP状态码5xx次数汇总。</t>
  </si>
  <si>
    <t>状态码5xx占比</t>
  </si>
  <si>
    <t>http_code_5xx_rate</t>
  </si>
  <si>
    <t>域名一分钟内HTTP状态码5xx次数占比。</t>
  </si>
  <si>
    <t>流量命中率</t>
  </si>
  <si>
    <t>hit_flux_rate</t>
  </si>
  <si>
    <t>域名一分钟内命中缓存的流量占比。（流量命中率=命中流量/流量）</t>
  </si>
  <si>
    <t>状态码回源5xx占比</t>
  </si>
  <si>
    <t>bs_http_code_5xx_rate</t>
  </si>
  <si>
    <t>原始值：域名一分钟内HTTP状态码5xx回源次数占比。</t>
  </si>
  <si>
    <t>事件网格</t>
  </si>
  <si>
    <t>SYS.EG</t>
  </si>
  <si>
    <t>EG</t>
  </si>
  <si>
    <t>事件订阅</t>
  </si>
  <si>
    <t>subscription_id</t>
  </si>
  <si>
    <t>投递事件成功率</t>
  </si>
  <si>
    <t>sub_success_rate</t>
  </si>
  <si>
    <t>该指标为单位时间订阅投递事件成功率</t>
  </si>
  <si>
    <t>30分钟</t>
  </si>
  <si>
    <t>投递事件失败率</t>
  </si>
  <si>
    <t>sub_failed_rate</t>
  </si>
  <si>
    <t>该指标为单位时间订阅投递事件失败率</t>
  </si>
  <si>
    <t>事件通道</t>
  </si>
  <si>
    <t>channel_id</t>
  </si>
  <si>
    <t>接入事件成功率</t>
  </si>
  <si>
    <t>pub_success_rate</t>
  </si>
  <si>
    <t>该指标为单位时间通道接入事件成功率</t>
  </si>
  <si>
    <t>接入事件失败率</t>
  </si>
  <si>
    <t>pub_failed_rate</t>
  </si>
  <si>
    <t>该指标为单位时间通道接入事件失败率</t>
  </si>
  <si>
    <t>任务状态</t>
  </si>
  <si>
    <t>task_status</t>
  </si>
  <si>
    <t>云硬盘</t>
  </si>
  <si>
    <t>SYS.EVS</t>
  </si>
  <si>
    <t>EVS</t>
  </si>
  <si>
    <t>磁盘</t>
  </si>
  <si>
    <t>disk_name</t>
  </si>
  <si>
    <t>平均写操作耗时</t>
  </si>
  <si>
    <t>disk_device_write_await</t>
  </si>
  <si>
    <t>该指标用于统计指定时间段内，平均每个写IO的操作时长</t>
  </si>
  <si>
    <t>ms/op</t>
  </si>
  <si>
    <t>平均读操作耗时</t>
  </si>
  <si>
    <t>disk_device_read_await</t>
  </si>
  <si>
    <t>该指标用于统计指定时间段内，平均每个读IO的操作时长</t>
  </si>
  <si>
    <t>IOPS达到上限(次数)</t>
  </si>
  <si>
    <t>disk_device_io_iops_qos_num</t>
  </si>
  <si>
    <t>卷IOPS达到上限次数</t>
  </si>
  <si>
    <t>如遇到客户业务上涨，建议配置这个指标</t>
  </si>
  <si>
    <t>带宽达到上限(次数)</t>
  </si>
  <si>
    <t>disk_device_io_iobw_qos_num</t>
  </si>
  <si>
    <t>卷带宽达到上限次数</t>
  </si>
  <si>
    <t>预测服务</t>
  </si>
  <si>
    <t>SYS.UPredict</t>
  </si>
  <si>
    <t>UPredict</t>
  </si>
  <si>
    <t>service_name</t>
  </si>
  <si>
    <t>Count/min</t>
  </si>
  <si>
    <t>该指标用于统计应用的调用失败次数</t>
  </si>
  <si>
    <t>1天</t>
  </si>
  <si>
    <t>丢包率</t>
  </si>
  <si>
    <t>packet_loss_rate</t>
  </si>
  <si>
    <t>site_id</t>
  </si>
  <si>
    <t>disk_util</t>
  </si>
  <si>
    <t>该指标用于统计测量对象的磁盘使用率</t>
  </si>
  <si>
    <t>图引擎服务</t>
  </si>
  <si>
    <t>SYS.GES</t>
  </si>
  <si>
    <t>GES</t>
  </si>
  <si>
    <t>图实例</t>
  </si>
  <si>
    <t>点容量使用率</t>
  </si>
  <si>
    <t>ges001_vertex_util</t>
  </si>
  <si>
    <t>统计图实例点容量使用率，即当前图点个数和图点容量的比值。</t>
  </si>
  <si>
    <t>边容量使用率</t>
  </si>
  <si>
    <t>ges002_edge_util</t>
  </si>
  <si>
    <t>统计图实例边容量使用率，即当前图边个数和图边容量的比值。</t>
  </si>
  <si>
    <t>计算资源使用率</t>
  </si>
  <si>
    <t>ges020_computer_resource_usage</t>
  </si>
  <si>
    <t>统计图实例的计算资源使用率。</t>
  </si>
  <si>
    <t>内存资源使用率</t>
  </si>
  <si>
    <t>ges021_memory_usage</t>
  </si>
  <si>
    <t>统计图实例的内存资源使用率。</t>
  </si>
  <si>
    <t>ges025_disk_usage</t>
  </si>
  <si>
    <t>统计图实例的磁盘使用情况。</t>
  </si>
  <si>
    <t>Web应用防火墙</t>
  </si>
  <si>
    <t>SYS.WAF</t>
  </si>
  <si>
    <t>WAF</t>
  </si>
  <si>
    <t>独享实例</t>
  </si>
  <si>
    <t>该指标用于统计测量对象的CPU利用率。</t>
  </si>
  <si>
    <t>官网上的告警周期是1分钟，如果可以的话请按官网说明配置</t>
  </si>
  <si>
    <t>该指标用于统计测量对象的内存利用率。</t>
  </si>
  <si>
    <t>该指标用于统计测量对象的磁盘利用率。</t>
  </si>
  <si>
    <t>active_connections</t>
  </si>
  <si>
    <t>该指标用于统计测量对象当前打开的连接数量。</t>
  </si>
  <si>
    <t>防护域名</t>
  </si>
  <si>
    <t>waf_instance_id</t>
  </si>
  <si>
    <t>根据客户实际情况配置</t>
  </si>
  <si>
    <t>WAF返回码（5XX）</t>
  </si>
  <si>
    <t>waf_http_5xx</t>
  </si>
  <si>
    <t>该指标用于统计WAF返回的5XX状态码的数量。</t>
  </si>
  <si>
    <t>15分钟</t>
  </si>
  <si>
    <t>业务返回码（5XX）</t>
  </si>
  <si>
    <t>upstream_code_5xx</t>
  </si>
  <si>
    <t>该指标用于统计业务返回的5XX系列状态响应码的数量。</t>
  </si>
  <si>
    <t>云数据迁移服务</t>
  </si>
  <si>
    <t>SYS.CDM</t>
  </si>
  <si>
    <t>CDM</t>
  </si>
  <si>
    <t>该指标用于统计实例节点的cpu使用率（%）</t>
  </si>
  <si>
    <t>mem_usage</t>
  </si>
  <si>
    <t>该指标用于统计实例节点的内存使用率（%）</t>
  </si>
  <si>
    <t>disk_usage</t>
  </si>
  <si>
    <t>tomcat_heap_usage</t>
  </si>
  <si>
    <t>该指标用于统计对象的堆内存利用率。</t>
  </si>
  <si>
    <t>数据库连接数</t>
  </si>
  <si>
    <t>pg_connect</t>
  </si>
  <si>
    <t>指标用于统计对象的数据库连接数。</t>
  </si>
  <si>
    <t>4 * CPU数</t>
  </si>
  <si>
    <t>需要首先知道CPU的个数</t>
  </si>
  <si>
    <t>历史记录表行数</t>
  </si>
  <si>
    <t>pg_submission_row</t>
  </si>
  <si>
    <t>该指标用于统计对象的历史记录表行数。</t>
  </si>
  <si>
    <t>行</t>
  </si>
  <si>
    <t>失败作业率</t>
  </si>
  <si>
    <t>pg_failed_job_rate</t>
  </si>
  <si>
    <t>该指标用于统计对象的失败作业率。</t>
  </si>
  <si>
    <t>云连接</t>
  </si>
  <si>
    <t>SYS.CC</t>
  </si>
  <si>
    <t>CC</t>
  </si>
  <si>
    <t>云连接-带宽包-域间带宽</t>
  </si>
  <si>
    <t>cloud_connect_id,bwp_id,region_bandwidth_id</t>
  </si>
  <si>
    <t>网络流入带宽</t>
  </si>
  <si>
    <t>网络流出带宽</t>
  </si>
  <si>
    <t>包</t>
  </si>
  <si>
    <t>时延</t>
  </si>
  <si>
    <t>latency</t>
  </si>
  <si>
    <t>网络带宽使用率</t>
  </si>
  <si>
    <t>network_bandwidth_usage</t>
  </si>
  <si>
    <t>云连接域间带宽数据使用率。</t>
  </si>
  <si>
    <t>消息堆积数</t>
  </si>
  <si>
    <t>分布式消息服务</t>
  </si>
  <si>
    <t>SYS.DMS</t>
  </si>
  <si>
    <t>DMS</t>
  </si>
  <si>
    <t>RabbitMQ实例</t>
  </si>
  <si>
    <t>rabbitmq_instance_id</t>
  </si>
  <si>
    <t>消费者数</t>
  </si>
  <si>
    <t>consumers</t>
  </si>
  <si>
    <t>统计RabbitMQ实例中的总消费者数。</t>
  </si>
  <si>
    <t>最小规格消费者数为4000，建议客户按照实际规格*代理数*90%进行配置</t>
  </si>
  <si>
    <t>可消费消息数</t>
  </si>
  <si>
    <t>messages_ready</t>
  </si>
  <si>
    <t>统计RabbitMQ实例中总可消费消息数量。</t>
  </si>
  <si>
    <t>10000为默认值，建议客户按照实际业务情况进行配置</t>
  </si>
  <si>
    <t>未确认消息数</t>
  </si>
  <si>
    <t>messages_unacknowledged</t>
  </si>
  <si>
    <t>统计RabbitMQ实例中总已经消费但还未确认的消息数量。</t>
  </si>
  <si>
    <t>实例磁盘容量使用率</t>
  </si>
  <si>
    <t>instance_disk_usage</t>
  </si>
  <si>
    <t>实例磁盘容量使用率。</t>
  </si>
  <si>
    <t>AMQP-0-9-1版本才会支持整个指标，3.x版本的不支持</t>
  </si>
  <si>
    <t>RocketMQ专享版-节点</t>
  </si>
  <si>
    <t>reliablemq_instance_id,reliablemq_broker</t>
  </si>
  <si>
    <t>CPU核均负载</t>
  </si>
  <si>
    <t>broker_cpu_core_load</t>
  </si>
  <si>
    <t>该指标用于统计节点虚拟机CPU每个核的平均负载。</t>
  </si>
  <si>
    <t>磁盘容量使用率</t>
  </si>
  <si>
    <t>broker_disk_usage</t>
  </si>
  <si>
    <t>该指标用于统计节点虚拟机的磁盘容量使用率。</t>
  </si>
  <si>
    <t>broker_memory_usage</t>
  </si>
  <si>
    <t>该指标用于统计节点虚拟机的内存使用率。</t>
  </si>
  <si>
    <t>节点存活状态</t>
  </si>
  <si>
    <t>broker_alive</t>
  </si>
  <si>
    <t>表示节点是否存活。</t>
  </si>
  <si>
    <t>无</t>
  </si>
  <si>
    <t>broker_connections</t>
  </si>
  <si>
    <t>统计节点当前所有TCP连接数量。</t>
  </si>
  <si>
    <t>2000为默认值，建议客户按照实际业务情况进行配置</t>
  </si>
  <si>
    <t>broker_cpu_usage</t>
  </si>
  <si>
    <t>统计节点虚拟机的CPU使用率。</t>
  </si>
  <si>
    <t>&gt;90%
或者
环比下降100%</t>
  </si>
  <si>
    <t>磁盘平均读操作耗时</t>
  </si>
  <si>
    <t>broker_disk_read_await</t>
  </si>
  <si>
    <t>该指标用于统计磁盘在测量周期内平均每个读IO的操作时长。</t>
  </si>
  <si>
    <t>磁盘平均写操作耗时</t>
  </si>
  <si>
    <t>broker_disk_write_await</t>
  </si>
  <si>
    <t>该指标用于统计磁盘在测量周期内平均每个写IO的操作时长。</t>
  </si>
  <si>
    <t>节点生产请求P99处理时长</t>
  </si>
  <si>
    <t>broker_produce_p99</t>
  </si>
  <si>
    <t>节点所有生产请求处理时长从小到大排列，顺序处于99%位置的时长</t>
  </si>
  <si>
    <t>50ms为默认值，建议客户按照实际业务情况进行配置</t>
  </si>
  <si>
    <t>节点生产请求P99.9处理时长</t>
  </si>
  <si>
    <t>broker_produce_p999</t>
  </si>
  <si>
    <t>节点所有生产请求处理时长从小到大排列，顺序处于99.9%位置的时长</t>
  </si>
  <si>
    <t>hour</t>
  </si>
  <si>
    <t>生产成功率</t>
  </si>
  <si>
    <t>broker_produce_success_rate</t>
  </si>
  <si>
    <t>节点所有生产请求的成功率</t>
  </si>
  <si>
    <t>RocketMQ专享版-死信队列</t>
  </si>
  <si>
    <t>reliablemq_instance_id,reliablemq_dlq_topics</t>
  </si>
  <si>
    <t>死信主题消息量</t>
  </si>
  <si>
    <t>dlq_accumulation</t>
  </si>
  <si>
    <t>死信主题的消息量总数</t>
  </si>
  <si>
    <t>死信消息增长量</t>
  </si>
  <si>
    <t>dlq_increase</t>
  </si>
  <si>
    <t>死信消息增长量。</t>
  </si>
  <si>
    <t>Kafka专享版-消费组-队列</t>
  </si>
  <si>
    <t>kafka_instance_id,kafka_groups,kafka_groups_topics</t>
  </si>
  <si>
    <t>队列可消费消息数</t>
  </si>
  <si>
    <t>topic_messages_remained</t>
  </si>
  <si>
    <t>该指标用于统计消费组指定队列剩余可以消费的消息个数。</t>
  </si>
  <si>
    <t>Kafka专享版-消费组</t>
  </si>
  <si>
    <t>kafka_instance_id,kafka_groups</t>
  </si>
  <si>
    <t>消息堆积数（消费组可消费消息数）</t>
  </si>
  <si>
    <t>consumer_messages_remained</t>
  </si>
  <si>
    <t>该指标用于统计消费组剩余可以消费的消息个数。</t>
  </si>
  <si>
    <t>RabbitMQ实例-节点</t>
  </si>
  <si>
    <t>rabbitmq_instance_id,rabbitmq_node</t>
  </si>
  <si>
    <t>Socket连接数</t>
  </si>
  <si>
    <t>socket_used</t>
  </si>
  <si>
    <t>统计当前节点RabbitMQ所使用的Socket连接数。</t>
  </si>
  <si>
    <t>2500为默认值，建议客户按照实际业务情况进行配置</t>
  </si>
  <si>
    <t>rabbitmq_alive</t>
  </si>
  <si>
    <t>表示Rabbitmq节点是否存活。</t>
  </si>
  <si>
    <t>rabbitmq_disk_usage</t>
  </si>
  <si>
    <t>统计Rabbitmq节点虚拟机的磁盘容量使用率。</t>
  </si>
  <si>
    <t>rabbitmq_cpu_usage</t>
  </si>
  <si>
    <t>统计Rabbitmq节点虚拟机的CPU使用率。</t>
  </si>
  <si>
    <t>&gt;80</t>
  </si>
  <si>
    <t>&gt;90%
或者
环比下降 100%</t>
  </si>
  <si>
    <t>rabbitmq_memory_usage</t>
  </si>
  <si>
    <t>统计Rabbitmq节点虚拟机的内存使用率。</t>
  </si>
  <si>
    <t>如果客户认为偏低，仍然不建议拉高指标，到40%后大概率会有不可用风险</t>
  </si>
  <si>
    <t>内存高水位状态</t>
  </si>
  <si>
    <t>rabbitmq_memory_high_watermark</t>
  </si>
  <si>
    <t>表示Rabbitmq节点是否触发内存高水位，如果触发，会阻塞集群的所有生产者。</t>
  </si>
  <si>
    <t>磁盘高水位状态</t>
  </si>
  <si>
    <t>rabbitmq_disk_insufficient</t>
  </si>
  <si>
    <t>表示Rabbitmq节点是否触发磁盘高水位，如果触发，会阻塞集群的所有生产者。</t>
  </si>
  <si>
    <t>connections_usage</t>
  </si>
  <si>
    <t>当前节点实际连接数占最大连接数比率。</t>
  </si>
  <si>
    <t>queue_messages_ready</t>
  </si>
  <si>
    <t>统计RabbitMQ队列中可消费消息数量。</t>
  </si>
  <si>
    <t>RocketMQ专享版</t>
  </si>
  <si>
    <t>reliablemq_instance_id</t>
  </si>
  <si>
    <t>主题数</t>
  </si>
  <si>
    <t>current_topics</t>
  </si>
  <si>
    <t>实例的主题数量。</t>
  </si>
  <si>
    <t>instance_accumulation</t>
  </si>
  <si>
    <t>实例所有消费组消息堆积数量之和</t>
  </si>
  <si>
    <t>环比上升50%</t>
  </si>
  <si>
    <t>生产被流控次数</t>
  </si>
  <si>
    <t>instance_produce_ratelimit_times</t>
  </si>
  <si>
    <t>一分钟内生产被流控次数</t>
  </si>
  <si>
    <t>RocketMQ专享版-消费组</t>
  </si>
  <si>
    <t>reliablemq_instance_id,reliablemq_groups</t>
  </si>
  <si>
    <t>group_accumulation</t>
  </si>
  <si>
    <t>消费组的消息堆积量</t>
  </si>
  <si>
    <t>Kafka专享版-connetor任务</t>
  </si>
  <si>
    <t>kafka_instance_id,connector_task</t>
  </si>
  <si>
    <t>当前任务状态，0为任务异常，1为任务正常。</t>
  </si>
  <si>
    <t>消息时延</t>
  </si>
  <si>
    <t>message_delay</t>
  </si>
  <si>
    <t>从消息在源端被生产的时间开始，到消息到达目标端的时间所花费的时间。</t>
  </si>
  <si>
    <t>Kafka专享版</t>
  </si>
  <si>
    <t>kafka_instance_id</t>
  </si>
  <si>
    <t>分区数</t>
  </si>
  <si>
    <t>current_partitions</t>
  </si>
  <si>
    <t>统计Kafka实例中已经使用的分区数量。</t>
  </si>
  <si>
    <t>最小规格分区数为100，建议客户按照实际规格*90%进行配置</t>
  </si>
  <si>
    <t>group_msgs</t>
  </si>
  <si>
    <t>统计Kafka实例中所有消费组中总消息堆积数。</t>
  </si>
  <si>
    <t>队列</t>
  </si>
  <si>
    <t>RabbitMQ实例-队列</t>
  </si>
  <si>
    <t>rabbitmq_instance_id,rabbitmq_queue</t>
  </si>
  <si>
    <t>Kafka专享版-Broker节点</t>
  </si>
  <si>
    <t>kafka_instance_id,kafka_broker</t>
  </si>
  <si>
    <t>生产请求平均处理时长</t>
  </si>
  <si>
    <t>broker_produce_mean</t>
  </si>
  <si>
    <t>统计Broker节点处理生产请求平均时长。</t>
  </si>
  <si>
    <t>消费请求平均处理时长</t>
  </si>
  <si>
    <t>broker_fetch_mean</t>
  </si>
  <si>
    <t>统计Broker节点处理消费请求平均时长。</t>
  </si>
  <si>
    <t>JVM堆内存使用率</t>
  </si>
  <si>
    <t>broker_heap_usage</t>
  </si>
  <si>
    <t>该指标用于统计JVM中的堆内存使用率。</t>
  </si>
  <si>
    <t>网络带宽利用率</t>
  </si>
  <si>
    <t>数据流量所占用的带宽的比例。</t>
  </si>
  <si>
    <t>memory_usage</t>
  </si>
  <si>
    <t>分布式数据库中间件(newddm)</t>
  </si>
  <si>
    <t>SYS.DDMS</t>
  </si>
  <si>
    <t>DDM</t>
  </si>
  <si>
    <t>DDM实例-DDM节点</t>
  </si>
  <si>
    <t>instance_id,node_id</t>
  </si>
  <si>
    <t>ddm_cpu_util</t>
  </si>
  <si>
    <t>该指标用于统计数据面虚拟机的CPU利用率</t>
  </si>
  <si>
    <t>ddm_mem_util</t>
  </si>
  <si>
    <t>该指标用于统计数据面虚拟机的内存利用率</t>
  </si>
  <si>
    <t>慢SQL数</t>
  </si>
  <si>
    <t>ddm_slow_log</t>
  </si>
  <si>
    <t>该指标用于统计数据面服务Core的慢SQL条数</t>
  </si>
  <si>
    <t>条数</t>
  </si>
  <si>
    <t>后端连接池水位</t>
  </si>
  <si>
    <t>ddm_backend_connection_ratio</t>
  </si>
  <si>
    <t>该指标用于统计每个DDM节点后端活跃连接数与后端最大连接数的比例。</t>
  </si>
  <si>
    <t>平均值</t>
  </si>
  <si>
    <t>12小时</t>
  </si>
  <si>
    <t>ddm_connection_util</t>
  </si>
  <si>
    <t>该指标用于统计每个DDM节点已用的连接数占总连接数的百分比</t>
  </si>
  <si>
    <t>DDM节点连通性异常检测</t>
  </si>
  <si>
    <t>ddm_node_status_alarm_code</t>
  </si>
  <si>
    <t>该指标用于检测每个DDM节点是否在集群中不可用，0表示可用，1表示不可用</t>
  </si>
  <si>
    <t>bandwidth_id</t>
  </si>
  <si>
    <t>入网带宽使用率</t>
  </si>
  <si>
    <t>出网带宽使用率</t>
  </si>
  <si>
    <t>DDoS服务</t>
  </si>
  <si>
    <t>SYS.DDOS</t>
  </si>
  <si>
    <t>DDOS</t>
  </si>
  <si>
    <t>防护包-防护ip</t>
  </si>
  <si>
    <t>package,ip</t>
  </si>
  <si>
    <t>攻击带宽</t>
  </si>
  <si>
    <t>ip_drop_rate</t>
  </si>
  <si>
    <t>该指标为高防IP攻击带宽。</t>
  </si>
  <si>
    <t>Kbps</t>
  </si>
  <si>
    <t>Gbit/s</t>
  </si>
  <si>
    <t>网站域名</t>
  </si>
  <si>
    <t>web_name_id</t>
  </si>
  <si>
    <t>5xx 状态码</t>
  </si>
  <si>
    <t>http_num_5xx</t>
  </si>
  <si>
    <t>域名的 http 5xx 响应状态码次数统计</t>
  </si>
  <si>
    <t>业务带宽利用率</t>
  </si>
  <si>
    <t>实例ID-防护IP</t>
  </si>
  <si>
    <t>instance_id,zone_ip</t>
  </si>
  <si>
    <t>ip_service_bandwidth_usage</t>
  </si>
  <si>
    <t>该指标为高防IP业务带宽利用率。</t>
  </si>
  <si>
    <t>企业路由器</t>
  </si>
  <si>
    <t>SYS.ER</t>
  </si>
  <si>
    <t>ER</t>
  </si>
  <si>
    <t>er_instance_id</t>
  </si>
  <si>
    <t>instance_bits_rate_in</t>
  </si>
  <si>
    <t>该指标用于统计企业路由器实例入方向，每秒接收的比特数。</t>
  </si>
  <si>
    <t>100 </t>
  </si>
  <si>
    <t>入方向PPS</t>
  </si>
  <si>
    <t>instance_bits_rate_out</t>
  </si>
  <si>
    <t>该指标用于统计企业路由器实例出方向，每秒发送的比特数。</t>
  </si>
  <si>
    <t>出方向PPS</t>
  </si>
  <si>
    <t>无匹配路由丢弃包数量</t>
  </si>
  <si>
    <t>instance_packets_drop_noroute</t>
  </si>
  <si>
    <t>企业路由器实例无匹配路由丢包数</t>
  </si>
  <si>
    <t>弹性文件服务</t>
  </si>
  <si>
    <t>SYS.SFS</t>
  </si>
  <si>
    <t>SFS</t>
  </si>
  <si>
    <t>通用文件系统</t>
  </si>
  <si>
    <t>bucket_name</t>
  </si>
  <si>
    <t>文件系统读带宽</t>
  </si>
  <si>
    <t>read_bytes_intranet</t>
  </si>
  <si>
    <t>3小时</t>
  </si>
  <si>
    <t>文件系统写带宽</t>
  </si>
  <si>
    <t>write_bytes_intranet</t>
  </si>
  <si>
    <t>文件系统读TPS</t>
  </si>
  <si>
    <t>read_tps</t>
  </si>
  <si>
    <t>该指标用于测量单位时间内处理的读请求数</t>
  </si>
  <si>
    <t>文件系统写TPS</t>
  </si>
  <si>
    <t>write_tps</t>
  </si>
  <si>
    <t>该指标用于测量单位时间内处理的写请求数</t>
  </si>
  <si>
    <t>API网关专享版</t>
  </si>
  <si>
    <t>SYS.APIC</t>
  </si>
  <si>
    <t>APIG</t>
  </si>
  <si>
    <t>实例-API</t>
  </si>
  <si>
    <t>instance_id,api_id</t>
  </si>
  <si>
    <t>30 </t>
  </si>
  <si>
    <t>50 </t>
  </si>
  <si>
    <t>如果指标中没有环比，请与一般时期调用次数自行运算</t>
  </si>
  <si>
    <t>该指标用于统计测量api接口返回5xx错误的次数</t>
  </si>
  <si>
    <t>该指标用于统计测量api接口平均响应延时时间</t>
  </si>
  <si>
    <t>实例-节点Ip</t>
  </si>
  <si>
    <t>instance_id,node_ip</t>
  </si>
  <si>
    <t>网关节点系统负载</t>
  </si>
  <si>
    <t>node_system_load</t>
  </si>
  <si>
    <t>该指标用于统计当前数据面网关节点负载详情，1表示低水位，2表示中水位，3表示高水位。</t>
  </si>
  <si>
    <t>网关节点cpu使用率</t>
  </si>
  <si>
    <t>node_cpu_usage</t>
  </si>
  <si>
    <t>该指标用于统计当前数据面网关节点cpu使用率。</t>
  </si>
  <si>
    <t>网关节点内存使用率</t>
  </si>
  <si>
    <t>node_memory_usage</t>
  </si>
  <si>
    <t>该指标用于统计当前数据面网关节点内存使用率。</t>
  </si>
  <si>
    <t>4xx 异常次数</t>
  </si>
  <si>
    <t>5xx 异常次数</t>
  </si>
  <si>
    <t>该指标用于统计测量api接口返回5xx错误的次数。</t>
  </si>
  <si>
    <t>被流控的调用次数</t>
  </si>
  <si>
    <t>throttled_calls</t>
  </si>
  <si>
    <t>该指标用于统计测量api被流控的调用次数。</t>
  </si>
  <si>
    <t>70 </t>
  </si>
  <si>
    <t>(Agent) NPU健康状况</t>
  </si>
  <si>
    <t>npu_device_health</t>
  </si>
  <si>
    <t>(Agent) NPU控制CPU使用率</t>
  </si>
  <si>
    <t>npu_util_rate_ctrl_cpu</t>
  </si>
  <si>
    <t>°C</t>
  </si>
  <si>
    <t>(Agent) NPU驱动健康状况</t>
  </si>
  <si>
    <t>npu_driver_health</t>
  </si>
  <si>
    <t>(Agent) HBM ECC检测开关状态</t>
  </si>
  <si>
    <t>npu_hbm_ecc_enable</t>
  </si>
  <si>
    <t>NPU卡HBM ECC检测开关状态，0表示关闭，1表示打开</t>
  </si>
  <si>
    <t>(Agent) HBM双比特错误隔离内存页数量</t>
  </si>
  <si>
    <t>npu_hbm_double_bit_isolated_pages_cnt</t>
  </si>
  <si>
    <t>NPU卡HBM双比特错误隔离内存页数量</t>
  </si>
  <si>
    <t>(Agent)NPU的AICPU平均使用率</t>
  </si>
  <si>
    <t>npu_aicpu_avg_util_rate</t>
  </si>
  <si>
    <t>该指标描述NPU的AICPU平均使用率</t>
  </si>
  <si>
    <t>(Agent)NPU的HBM占用率</t>
  </si>
  <si>
    <t>npu_util_rate_hbm</t>
  </si>
  <si>
    <t>该指标描述NPU的HBM占用率</t>
  </si>
  <si>
    <t>(Agent)NPU光模块壳温</t>
  </si>
  <si>
    <t>npu_opt_temperature</t>
  </si>
  <si>
    <t>该指标描述NPU光模块壳温</t>
  </si>
  <si>
    <t>NAT网关</t>
  </si>
  <si>
    <t>SYS.NAT</t>
  </si>
  <si>
    <t>NAT</t>
  </si>
  <si>
    <t>弹性NAT网关</t>
  </si>
  <si>
    <t>elastic_nat_gateway_id</t>
  </si>
  <si>
    <t>端口分配失败丢包数</t>
  </si>
  <si>
    <t>error_port_allocation_count</t>
  </si>
  <si>
    <t>当前NAT网关实例由于中转IP端口分配失败时导致的丢包数</t>
  </si>
  <si>
    <t>公网NAT网关</t>
  </si>
  <si>
    <t>nat_gateway_id</t>
  </si>
  <si>
    <t>inbound_pps</t>
  </si>
  <si>
    <t>当前NAT网关实例的入方向PPS</t>
  </si>
  <si>
    <t>&gt;800000</t>
  </si>
  <si>
    <t>outbound_pps</t>
  </si>
  <si>
    <t>当前NAT网关实例的出方向PPS</t>
  </si>
  <si>
    <t>SNAT连接数使用率</t>
  </si>
  <si>
    <t>snat_connection_ratio</t>
  </si>
  <si>
    <t>当前NAT网关实例的SNAT连接数使用率</t>
  </si>
  <si>
    <t>入方向带宽使用率</t>
  </si>
  <si>
    <t>inbound_bandwidth_ratio</t>
  </si>
  <si>
    <t>当前NAT网关实例的入方向带宽使用率</t>
  </si>
  <si>
    <t>出方向带宽使用率</t>
  </si>
  <si>
    <t>outbound_bandwidth_ratio</t>
  </si>
  <si>
    <t>当前NAT网关实例的出方向带宽使用率</t>
  </si>
  <si>
    <t>丢包数(SNAT连接数超限)</t>
  </si>
  <si>
    <t>packets_drop_count_snat_connection_beyond</t>
  </si>
  <si>
    <t>当前公网NAT网关实例由于SNAT连接数超限导致的丢包数。</t>
  </si>
  <si>
    <t>丢包数(PPS超限)</t>
  </si>
  <si>
    <t>packets_drop_count_pps_beyond</t>
  </si>
  <si>
    <t>当前公网NAT网关实例由于PPS超限导致的丢包数。</t>
  </si>
  <si>
    <t>丢包数(EIP端口分配超限)</t>
  </si>
  <si>
    <t>packets_drop_count_eip_port_alloc_beyond</t>
  </si>
  <si>
    <t>当前公网NAT网关实例由于EIP端口分配超限导致的丢包数。</t>
  </si>
  <si>
    <t>总PPS使用率</t>
  </si>
  <si>
    <t>total_pps_ratio</t>
  </si>
  <si>
    <t>当前NAT网关实例的入方向PPS和出方向PPS之和使用率</t>
  </si>
  <si>
    <t>私网NAT网关</t>
  </si>
  <si>
    <t>vpc_nat_gateway_id</t>
  </si>
  <si>
    <t>依赖后台配置，大云暂不支持，支持时间不确定</t>
  </si>
  <si>
    <t>否</t>
  </si>
  <si>
    <t>ROMA</t>
  </si>
  <si>
    <t>SYS.ROMA</t>
  </si>
  <si>
    <t>ROMA实例-消息集成(MQS)-Broker节点</t>
  </si>
  <si>
    <t>instance_id,kafka_instance_id,kafka_broker</t>
  </si>
  <si>
    <t>表示MQS节点是否存活。</t>
  </si>
  <si>
    <t>统计MQS节点虚拟机的CPU使用率。</t>
  </si>
  <si>
    <t>该指标用于统计MQS节点虚拟机的磁盘容量使用率。</t>
  </si>
  <si>
    <t>该指标用于统计MQS节点虚拟机的内存使用率。</t>
  </si>
  <si>
    <t>Kafka进程JVM堆内存使用率</t>
  </si>
  <si>
    <t>该指标用于统计MQS节点Kafka进程JVM中的堆内存使用率。</t>
  </si>
  <si>
    <t>ROMA实例-消息集成(RocketMQ)</t>
  </si>
  <si>
    <t>instance_id,reliablemq_instance_id</t>
  </si>
  <si>
    <t>堆积消息数</t>
  </si>
  <si>
    <t>实例所有消费组堆积消息数量之和</t>
  </si>
  <si>
    <t>ROMA实例-服务集成(APIC)-接口</t>
  </si>
  <si>
    <t>instance_id,apic,api_id</t>
  </si>
  <si>
    <t>统计测量api接口平均响应延时时间。</t>
  </si>
  <si>
    <t>ROMA实例-设备集成(LINK)</t>
  </si>
  <si>
    <t>instance_id,link</t>
  </si>
  <si>
    <t>在线设备数</t>
  </si>
  <si>
    <t>online_connections</t>
  </si>
  <si>
    <t>统计用户在线设备的连接数。</t>
  </si>
  <si>
    <t>发送消息最大时延</t>
  </si>
  <si>
    <t>msg_max_latency</t>
  </si>
  <si>
    <t>统计时间区间内设备发送消息延迟毫秒数。</t>
  </si>
  <si>
    <t>ROMA实例-数据集成(FDI)</t>
  </si>
  <si>
    <t>instance_id,fdi</t>
  </si>
  <si>
    <t>失败任务数</t>
  </si>
  <si>
    <t>fail_task_count</t>
  </si>
  <si>
    <t>统计ROMA FDI单位时间内执行失败的任务数量。</t>
  </si>
  <si>
    <t>ROMA实例-数据集成(FDI)-FDI节点</t>
  </si>
  <si>
    <t>instance_id,fdi,node_id</t>
  </si>
  <si>
    <t>活动进程占用的物理内存</t>
  </si>
  <si>
    <t>统计节点虚拟机的活动进程占用的物理内存。</t>
  </si>
  <si>
    <t>FDI数据面进程JVM堆内存使用率</t>
  </si>
  <si>
    <t>node_heap_usage</t>
  </si>
  <si>
    <t>统计节点虚拟机的FDI数据面进程JVM堆内存使用率。</t>
  </si>
  <si>
    <t>node_disk_usage</t>
  </si>
  <si>
    <t>统计节点虚拟机的磁盘容量使用率。</t>
  </si>
  <si>
    <t>ROMA实例-消息集成(MQS)</t>
  </si>
  <si>
    <t>instance_id,kafka_instance_id</t>
  </si>
  <si>
    <t>统计Kafka实例中所有消费组中总堆积消息数。</t>
  </si>
  <si>
    <t>ROMA实例-消息集成(RocketMQ)-Brokers节点</t>
  </si>
  <si>
    <t>instance_id,reliablemq_instance_id,reliablemq_broker</t>
  </si>
  <si>
    <t>connected_clients</t>
  </si>
  <si>
    <t>ROMA实例-服务集成(APIC)</t>
  </si>
  <si>
    <t>instance_id,apic</t>
  </si>
  <si>
    <t>Data API错误次数</t>
  </si>
  <si>
    <t>data_api_errors</t>
  </si>
  <si>
    <t>统计Data API错误次数。</t>
  </si>
  <si>
    <t>Function API错误次数</t>
  </si>
  <si>
    <t>func_api_errors</t>
  </si>
  <si>
    <t>统计Function API错误次数。</t>
  </si>
  <si>
    <t>统计测量api接口返回4xx错误的次数。</t>
  </si>
  <si>
    <t>统计测量api接口返回5xx错误的次数。</t>
  </si>
  <si>
    <t>count/min</t>
  </si>
  <si>
    <t>统计测量api被流控的调用次数。</t>
  </si>
  <si>
    <t>ROMA实例-数据集成(FDI)-FDI任务</t>
  </si>
  <si>
    <t>instance_id,fdi,task_id</t>
  </si>
  <si>
    <t>执行失败次数</t>
  </si>
  <si>
    <t>task_fail_count</t>
  </si>
  <si>
    <t>统计任务执行异常的次数。</t>
  </si>
  <si>
    <t>数据治理中心</t>
  </si>
  <si>
    <t>SYS.DATAARTS_MIGRATION</t>
  </si>
  <si>
    <t>DATAARTS_MIGRATION</t>
  </si>
  <si>
    <t>DataArts Studio作业</t>
  </si>
  <si>
    <t>dm_di_job_id</t>
  </si>
  <si>
    <t>源库WAL抽取时延</t>
  </si>
  <si>
    <t>extract_latency</t>
  </si>
  <si>
    <t>该指标用于统计当前从源库抽取WAL的时延</t>
  </si>
  <si>
    <t>apply_latency</t>
  </si>
  <si>
    <t>同步状态</t>
  </si>
  <si>
    <t>apply_current_state</t>
  </si>
  <si>
    <t>同步线程数量</t>
  </si>
  <si>
    <t>apply_thread_workers</t>
  </si>
  <si>
    <t>该指标用于表示当前数据同步的工作线程数量</t>
  </si>
  <si>
    <t>作业数据输入速率</t>
  </si>
  <si>
    <t>flink_read_records_per_second</t>
  </si>
  <si>
    <t>展示用户作业的数据输入速率，供监控和调试使用</t>
  </si>
  <si>
    <t>record/s</t>
  </si>
  <si>
    <t>作业数据输出速率</t>
  </si>
  <si>
    <t>flink_write_records_per_second</t>
  </si>
  <si>
    <t>展示用户作业的数据输出速率，供监控和调试使用</t>
  </si>
  <si>
    <t>作业CPU使用率</t>
  </si>
  <si>
    <t>flink_cpu_usage</t>
  </si>
  <si>
    <t>展示用户作业的CPU使用率</t>
  </si>
  <si>
    <t>作业内存使用率</t>
  </si>
  <si>
    <t>flink_mem_usage</t>
  </si>
  <si>
    <t>展示用户作业的内存使用率</t>
  </si>
  <si>
    <t>作业最大算子反压</t>
  </si>
  <si>
    <t>flink_max_op_backpressure_level</t>
  </si>
  <si>
    <t>展示用户作业的最大算子反压值，数值从0-1，数值越大，反压越严重</t>
  </si>
  <si>
    <t>任务重试次数</t>
  </si>
  <si>
    <t>job_retry_times</t>
  </si>
  <si>
    <t>只告警一次</t>
  </si>
  <si>
    <t>提交中作业数</t>
  </si>
  <si>
    <t>queue_job_launching_num</t>
  </si>
  <si>
    <t>该指标用于统计队列的提交中作业数</t>
  </si>
  <si>
    <t>已失败作业数</t>
  </si>
  <si>
    <t>queue_job_failed_num</t>
  </si>
  <si>
    <t>该指标用于统计队列的已失败作业数</t>
  </si>
  <si>
    <t>elastic_resource_pool_disk_usage</t>
  </si>
  <si>
    <t>elastic_resource_pool_disk_max_usage</t>
  </si>
  <si>
    <t>媒体处理服务</t>
  </si>
  <si>
    <t>SYS.MPC</t>
  </si>
  <si>
    <t>MPC</t>
  </si>
  <si>
    <t>转码任务</t>
  </si>
  <si>
    <t>mpc_transcode</t>
  </si>
  <si>
    <t>转码失败数</t>
  </si>
  <si>
    <t>mpc_transcode_task_failed</t>
  </si>
  <si>
    <t>该指标用于统计用户转码失败数</t>
  </si>
  <si>
    <t>数据库代理</t>
  </si>
  <si>
    <t>SYS.DBPROXY</t>
  </si>
  <si>
    <t>RDS</t>
  </si>
  <si>
    <t>数据库代理实例-数据库代理节点</t>
  </si>
  <si>
    <t>dbproxy_instance_id,dbproxy_node_id</t>
  </si>
  <si>
    <t>内网出带宽使用率(%)</t>
  </si>
  <si>
    <t>集群模式数据库代理内网出带宽使用率</t>
  </si>
  <si>
    <t>白名单管控指标，后续陆续开放</t>
  </si>
  <si>
    <t>内网入带宽使用率(%)</t>
  </si>
  <si>
    <t>集群模式数据库代理内网入带宽使用率</t>
  </si>
  <si>
    <t>ELB后端异常代理节点数</t>
  </si>
  <si>
    <t>代理集群内ELB挂载的异常节点数</t>
  </si>
  <si>
    <t>关系型数据库</t>
  </si>
  <si>
    <t>SYS.RDS</t>
  </si>
  <si>
    <t>Microsoft SQL Server实例</t>
  </si>
  <si>
    <t>rds_cluster_sqlserver_id</t>
  </si>
  <si>
    <t>使用中的数据库连接数</t>
  </si>
  <si>
    <t>rds054_db_connections_in_use</t>
  </si>
  <si>
    <t>用户连接到数据库的连接数量</t>
  </si>
  <si>
    <t>该指标用于统计当前已用的MySQL连接数占总连接数的百分比</t>
  </si>
  <si>
    <t>该指标用于展示每分钟MySQL产生慢日志的数量</t>
  </si>
  <si>
    <t>MariaDB实例</t>
  </si>
  <si>
    <t>mariadb_cluster_id</t>
  </si>
  <si>
    <t>PostgreSQL实例</t>
  </si>
  <si>
    <t>postgresql_cluster_id</t>
  </si>
  <si>
    <t>备机（只读）流复制状态</t>
  </si>
  <si>
    <t>slave_replication_status</t>
  </si>
  <si>
    <t>该指标为获取备机（只读）流复制状态，0：备机（只读）异常，1：备机（只读）正常，2：该实例为主机</t>
  </si>
  <si>
    <t>复制时延</t>
  </si>
  <si>
    <t>rds046_replication_lag</t>
  </si>
  <si>
    <t>副本滞后时延</t>
  </si>
  <si>
    <t>rds083_conn_usage</t>
  </si>
  <si>
    <t>该指标用于统计当前已用的PgSQL连接数占总连接数的百分比</t>
  </si>
  <si>
    <t>MySQL实例</t>
  </si>
  <si>
    <t>rds_cluster_id</t>
  </si>
  <si>
    <t>云服务器</t>
  </si>
  <si>
    <t>数据仓库服务</t>
  </si>
  <si>
    <t>SYS.DWS</t>
  </si>
  <si>
    <t>DWS</t>
  </si>
  <si>
    <t>datastore_id</t>
  </si>
  <si>
    <t>集群状态</t>
  </si>
  <si>
    <t>dws_029_dws_cluster_status</t>
  </si>
  <si>
    <t>该指标用于统计集群状态，1正常，0异常</t>
  </si>
  <si>
    <t>6小时</t>
  </si>
  <si>
    <t>数据仓库节点</t>
  </si>
  <si>
    <t>dws_instance_id</t>
  </si>
  <si>
    <t>dws010_cpu_usage</t>
  </si>
  <si>
    <t>该指标用于统计每个集群节点的CPU使用率</t>
  </si>
  <si>
    <t>dws011_mem_usage</t>
  </si>
  <si>
    <t>该指标用于统计每个集群节点内存使用率(注：guest-agent版本低于8.3.0.202的，mem_usage=used/total，8.3.0.202及以后的版本，mem_usage = 1-available/total，升级guest-agent到8.3.0.202版本后使用率突然变高属于正常现象）</t>
  </si>
  <si>
    <t>dws015_disk_usage</t>
  </si>
  <si>
    <t>该指标用于统计每个集群节点的磁盘使用情况</t>
  </si>
  <si>
    <t>dws018_disk_read_throughput</t>
  </si>
  <si>
    <t>该指标用于统计集群节点数据磁盘每秒读取的数据量</t>
  </si>
  <si>
    <t>dws019_disk_write_throughput</t>
  </si>
  <si>
    <t>该指标用于统计集群节点数据磁盘每秒写入的数据量</t>
  </si>
  <si>
    <t>dws020_avg_disk_sec_per_read</t>
  </si>
  <si>
    <t>该指标用于统计集群节点数据磁盘每次读取数据的平时耗时</t>
  </si>
  <si>
    <t>dws021_avg_disk_sec_per_write</t>
  </si>
  <si>
    <t>该指标用于统计集群节点数据磁盘每次写入数据的平时耗时</t>
  </si>
  <si>
    <t>关系型数据库集群版</t>
  </si>
  <si>
    <t>SYS.RDS_MYSQL_CLUSTER</t>
  </si>
  <si>
    <t>MySQL集群版实例-MySQL节点</t>
  </si>
  <si>
    <t>rds_cluster_id,rds_instance_id</t>
  </si>
  <si>
    <t>白名单管控实例</t>
  </si>
  <si>
    <t>密钥管理服务</t>
  </si>
  <si>
    <t>SYS.KMS</t>
  </si>
  <si>
    <t>KMS</t>
  </si>
  <si>
    <t>KMS 密钥</t>
  </si>
  <si>
    <t>key_id</t>
  </si>
  <si>
    <t>密钥材料剩余有效时间</t>
  </si>
  <si>
    <t>material_remaining_time</t>
  </si>
  <si>
    <t>该指标表示外部导入的密钥材料的剩余有效时间。</t>
  </si>
  <si>
    <t>天</t>
  </si>
  <si>
    <t>tenant_id</t>
  </si>
  <si>
    <t>弹性云服务器</t>
  </si>
  <si>
    <t>AGT.ECS</t>
  </si>
  <si>
    <t>ECS</t>
  </si>
  <si>
    <t>该指标用于统计测量对象当前CPU使用率</t>
  </si>
  <si>
    <t>该指标用于统计测量对象过去5分钟的CPU平均负载</t>
  </si>
  <si>
    <t>(Agent) 接收误包率</t>
  </si>
  <si>
    <t>net_errin</t>
  </si>
  <si>
    <t>该指标用于统计测量对象网卡每秒接收的错误数据包数量占所接收的数据包的比率</t>
  </si>
  <si>
    <t>(Agent) 发送误包率</t>
  </si>
  <si>
    <t>net_errout</t>
  </si>
  <si>
    <t>该指标用于统计测量对象网卡每秒发送的错误数据包数量占所发送的数据包的比率</t>
  </si>
  <si>
    <t>(Agent) 接收丢包率</t>
  </si>
  <si>
    <t>net_dropin</t>
  </si>
  <si>
    <t>该指标用于统计测量对象网卡每秒接收并已丢弃的数据包数量占所接收的数据包的比率</t>
  </si>
  <si>
    <t>(Agent) 发送丢包率</t>
  </si>
  <si>
    <t>net_dropout</t>
  </si>
  <si>
    <t>该指标用于统计测量对象网卡每秒发送并已丢弃的数据包数量占所发送的数据包的比率</t>
  </si>
  <si>
    <t>(Agent) 阻塞进程数</t>
  </si>
  <si>
    <t>proc_blocked_count</t>
  </si>
  <si>
    <t>该指标用于统计测量对象被阻塞的进程数</t>
  </si>
  <si>
    <t>(Agent) NTP偏移量</t>
  </si>
  <si>
    <t>ntp_offset</t>
  </si>
  <si>
    <t>该指标用于统计测量对象当前NTP偏移量</t>
  </si>
  <si>
    <t>云服务器-网卡</t>
  </si>
  <si>
    <t>instance_id,network_interface_card</t>
  </si>
  <si>
    <t>云服务器-磁盘</t>
  </si>
  <si>
    <t>instance_id,disk</t>
  </si>
  <si>
    <t>该指标用于统计测量对象处理I/O的时间占比</t>
  </si>
  <si>
    <t>(Agent) 写操作平均耗时</t>
  </si>
  <si>
    <t>disk_writeTime</t>
  </si>
  <si>
    <t>该指标用于统计测量对象磁盘写操作平均耗时</t>
  </si>
  <si>
    <t>ms/Count</t>
  </si>
  <si>
    <t>(Agent) 读操作平均耗时</t>
  </si>
  <si>
    <t>disk_readTime</t>
  </si>
  <si>
    <t>该指标用于统计测量对象磁盘读操作平均耗时</t>
  </si>
  <si>
    <t>云服务器-GPU</t>
  </si>
  <si>
    <t>instance_id,gpu</t>
  </si>
  <si>
    <t>(Agent) gpu健康状态</t>
  </si>
  <si>
    <t>云服务器-挂载点</t>
  </si>
  <si>
    <t>instance_id,mount_point</t>
  </si>
  <si>
    <t>(Agent) 磁盘读写状态</t>
  </si>
  <si>
    <t>disk_rwstate</t>
  </si>
  <si>
    <t>该指标用于统计测量对象挂载磁盘的读写状态。状态分为：可读写（0）/只读（1）</t>
  </si>
  <si>
    <t>该指标用于统计测量对象磁盘使用率</t>
  </si>
  <si>
    <t>国外服务器这一指标在“云服务器”维度</t>
  </si>
  <si>
    <t>该指标用于统计测量对象当前磁盘已使用的inode占比</t>
  </si>
  <si>
    <t>(Agent) 文件系统读写状态</t>
  </si>
  <si>
    <t>disk_fs_rwstate</t>
  </si>
  <si>
    <t>该指标用于统计测量对象挂载文件系统的读写状态。状态分为：可读写（0）/只读（1）</t>
  </si>
  <si>
    <t>云服务器-NPU</t>
  </si>
  <si>
    <t>instance_id,npu</t>
  </si>
  <si>
    <t>NPU推理卡的健康状况，0代表正常，1代表一般告警，2代表重要告警，3代表紧急告警</t>
  </si>
  <si>
    <t>NPU推理卡的驱动的健康状况，0为正常, 1为不重要告警, 2为重要告警, 3为紧急告警</t>
  </si>
  <si>
    <t>NPU推理卡的控制CPU使用率</t>
  </si>
  <si>
    <t>用户</t>
  </si>
  <si>
    <t>数据复制服务</t>
  </si>
  <si>
    <t>SYS.DRS</t>
  </si>
  <si>
    <t>DRS</t>
  </si>
  <si>
    <t>DRS运行实例</t>
  </si>
  <si>
    <t>源库WAL抽取延迟</t>
  </si>
  <si>
    <t>该指标用于统计当前从源库抽取WAL的延迟</t>
  </si>
  <si>
    <t>该指标用于统计当前数据同步的延迟</t>
  </si>
  <si>
    <t>该指标用于表示当前内核数据的同步状态（10：异常，1：空闲，2：执行DML，3：执行DDL），不代表任务状态</t>
  </si>
  <si>
    <t>apply_job_status</t>
  </si>
  <si>
    <t>该指标用于表示当前任务所处的状态(0:正常，1:异常，2:暂停)</t>
  </si>
  <si>
    <t>裸金属服务器</t>
  </si>
  <si>
    <t>SYS.BMS</t>
  </si>
  <si>
    <t>BMS</t>
  </si>
  <si>
    <t>MaaS</t>
  </si>
  <si>
    <t>SYS.MaaS</t>
  </si>
  <si>
    <t>API</t>
  </si>
  <si>
    <t>maas_api_id</t>
  </si>
  <si>
    <t/>
  </si>
  <si>
    <t>TTFT（AVG）</t>
  </si>
  <si>
    <t>ttft</t>
  </si>
  <si>
    <t>首token时延</t>
  </si>
  <si>
    <t>TPOT（AVG）</t>
  </si>
  <si>
    <t>tpot</t>
  </si>
  <si>
    <t>增量token时延</t>
  </si>
  <si>
    <t>3</t>
  </si>
  <si>
    <t>150</t>
  </si>
  <si>
    <t>5XX数量</t>
  </si>
  <si>
    <t>服务调用错误5XX次数</t>
  </si>
  <si>
    <t>10</t>
  </si>
  <si>
    <t>请求失败率</t>
  </si>
  <si>
    <t>req_error_rate</t>
  </si>
  <si>
    <t>调用失败次数/调用总次数</t>
  </si>
  <si>
    <t>5</t>
  </si>
  <si>
    <t>API-API KEY</t>
  </si>
  <si>
    <t>maas_api_id,maas_key_id</t>
  </si>
  <si>
    <t>SERVICE.BMS</t>
  </si>
  <si>
    <t>MA Lite Server/A2</t>
  </si>
  <si>
    <t xml:space="preserve">=0是正常，&gt;0表示卡亚健康；国外服务器可能缺失这一指标
</t>
  </si>
  <si>
    <t>云堡垒机</t>
  </si>
  <si>
    <t>SYS.CBH</t>
  </si>
  <si>
    <t>CBH</t>
  </si>
  <si>
    <t>server_id</t>
  </si>
  <si>
    <t>凭据管理服务</t>
  </si>
  <si>
    <t>SYS.CSMS</t>
  </si>
  <si>
    <t>CSMS</t>
  </si>
  <si>
    <t>对象存储服务</t>
  </si>
  <si>
    <t>SYS.OBS</t>
  </si>
  <si>
    <t>OBS</t>
  </si>
  <si>
    <t>桶名称</t>
  </si>
  <si>
    <t>请求成功率</t>
  </si>
  <si>
    <t>request_success_rate</t>
  </si>
  <si>
    <t>存储服务的系统可用性衡量指标</t>
  </si>
  <si>
    <t>云专线</t>
  </si>
  <si>
    <t>SYS.DCAAS</t>
  </si>
  <si>
    <t>DC</t>
  </si>
  <si>
    <t>物理连接</t>
  </si>
  <si>
    <t>direct_connect_id</t>
  </si>
  <si>
    <t>云专线连接侧入站数据的比特率</t>
  </si>
  <si>
    <t>&gt;总带宽*80%</t>
  </si>
  <si>
    <t>端口状态</t>
  </si>
  <si>
    <t>network_status</t>
  </si>
  <si>
    <t>云专线物理连接的端口状态 (0-DOWN, 1-UP)</t>
  </si>
  <si>
    <t>!=</t>
  </si>
  <si>
    <t>云专线连接侧出站数据的比特率</t>
  </si>
  <si>
    <t>网络流入错误包量</t>
  </si>
  <si>
    <t>in_errors</t>
  </si>
  <si>
    <t>云专线连接侧入站错误数据包数</t>
  </si>
  <si>
    <t>历史专线</t>
  </si>
  <si>
    <t>history_direct_connect_id</t>
  </si>
  <si>
    <t>云专线时延</t>
  </si>
  <si>
    <t>云专线丢包率</t>
  </si>
  <si>
    <t>&gt;10
或者
=100</t>
  </si>
  <si>
    <t>虚拟接口</t>
  </si>
  <si>
    <t>virtual_interface_id</t>
  </si>
  <si>
    <t>IPV4 BGP PEER状态</t>
  </si>
  <si>
    <t>bgp_peer_status_v4</t>
  </si>
  <si>
    <t>IPV4 BGP PEER状态 (0-DOWN, 1-ACTIVE)</t>
  </si>
  <si>
    <t>IPV6 BGP PEER状态</t>
  </si>
  <si>
    <t>bgp_peer_status_v6</t>
  </si>
  <si>
    <t>IPV6 BGP PEER状态 (0-DOWN, 1-ACTIVE)</t>
  </si>
  <si>
    <t>虚拟私有云</t>
  </si>
  <si>
    <t>SYS.VPC</t>
  </si>
  <si>
    <t>VPC</t>
  </si>
  <si>
    <t>该指标用于统计测试对象出云平台的带宽使用率，当宽带大小调整时，该指标需要数分钟完成规格同步，之后恢复正常使用率上报</t>
  </si>
  <si>
    <t>该指标用于统计测试对象入云平台的带宽使用率，当宽带大小调整时，该指标需要数分钟完成规格同步，之后恢复正常上报带宽使用率</t>
  </si>
  <si>
    <t>弹性IP</t>
  </si>
  <si>
    <t>publicip_id</t>
  </si>
  <si>
    <t>数据湖探索</t>
  </si>
  <si>
    <t>SYS.DLI</t>
  </si>
  <si>
    <t>DLI</t>
  </si>
  <si>
    <t>弹性资源池</t>
  </si>
  <si>
    <t>elastic_resource_pool_id</t>
  </si>
  <si>
    <t>弹性资源池磁盘使用率</t>
  </si>
  <si>
    <t>该指标用于统计弹性资源池磁盘已使用磁盘占申请磁盘总量的百分比</t>
  </si>
  <si>
    <t>弹性资源池磁盘使用率最大值</t>
  </si>
  <si>
    <t>该指标用于统计弹性资源池磁盘使用率最大值</t>
  </si>
  <si>
    <t>queue_id</t>
  </si>
  <si>
    <t>总作业数的20%</t>
  </si>
  <si>
    <t>队列CPU使用率</t>
  </si>
  <si>
    <t>queue_cpu_usage</t>
  </si>
  <si>
    <t>该指标用于统计队列已使用核心数占总核心数的百分比</t>
  </si>
  <si>
    <t>SYS.ECS</t>
  </si>
  <si>
    <t>该指标为从物理机层面采集的CPU使用率，数据准确性低于从弹性云服务器内部采集的数据。</t>
  </si>
  <si>
    <t>（Windows）内存使用率</t>
  </si>
  <si>
    <t>该指标用于统计测量对象的内存使用率（仅支持Windows操作系统）</t>
  </si>
  <si>
    <t>（Windows）磁盘使用率</t>
  </si>
  <si>
    <t>该指标用于统计测量对象的磁盘使用情况（仅支持Windows操作系统）</t>
  </si>
  <si>
    <t>函数工作流</t>
  </si>
  <si>
    <t>SYS.FunctionGraph</t>
  </si>
  <si>
    <t>FunctionGraph</t>
  </si>
  <si>
    <t>错误次数</t>
  </si>
  <si>
    <t>被限流次数</t>
  </si>
  <si>
    <t>工作流被限流的流程个数。</t>
  </si>
  <si>
    <t>函数</t>
  </si>
  <si>
    <t>package-functionname</t>
  </si>
  <si>
    <t>failcount</t>
  </si>
  <si>
    <t>该指标用于统计函数调用错误次数</t>
  </si>
  <si>
    <t>rejectcount</t>
  </si>
  <si>
    <t>调用错误率</t>
  </si>
  <si>
    <t>failRate</t>
  </si>
  <si>
    <t>该指标用于统计函数调用错误率</t>
  </si>
  <si>
    <t>系统错误次数</t>
  </si>
  <si>
    <t>systemErrorCount</t>
  </si>
  <si>
    <t>该指标用于统计函数调用系统错误次数</t>
  </si>
  <si>
    <t>函数错误次数</t>
  </si>
  <si>
    <t>functionErrorCount</t>
  </si>
  <si>
    <t>该指标用于统计函数调用函数错误次数</t>
  </si>
  <si>
    <t>云备份</t>
  </si>
  <si>
    <t>SYS.CBR</t>
  </si>
  <si>
    <t>CBR</t>
  </si>
  <si>
    <t>存储库</t>
  </si>
  <si>
    <t>存储库使用率</t>
  </si>
  <si>
    <t>vault_util</t>
  </si>
  <si>
    <t>该指标用于统计存储库容量使用率</t>
  </si>
  <si>
    <t>主机安全服务</t>
  </si>
  <si>
    <t>SYS.HSS</t>
  </si>
  <si>
    <t>HSS</t>
  </si>
  <si>
    <t>主机实例</t>
  </si>
  <si>
    <t>host_id</t>
  </si>
  <si>
    <t>agent运行状态</t>
  </si>
  <si>
    <t>agent_status</t>
  </si>
  <si>
    <t>该指标用于显示agent是否在线（0在线，1离线）</t>
  </si>
  <si>
    <t>主机防护状态</t>
  </si>
  <si>
    <t>protect_status</t>
  </si>
  <si>
    <t>该指标用于显示主机是否开启防护（0开启，1关闭）</t>
  </si>
  <si>
    <t>云搜索服务</t>
  </si>
  <si>
    <t>SYS.ES</t>
  </si>
  <si>
    <t>CSS</t>
  </si>
  <si>
    <t>CSS集群</t>
  </si>
  <si>
    <t>最大磁盘使用率</t>
  </si>
  <si>
    <t>该指标用于统计测量对象的最大磁盘使用率</t>
  </si>
  <si>
    <t>集群健康状态</t>
  </si>
  <si>
    <t>status</t>
  </si>
  <si>
    <t>该指标用于统计测量监控对象的状态。\n 0：集群是100%可用的。\n 1：数据是完整的，部分副本缺失。高可用性在某种程度上弱化，存在风险，请及时关注集群情况。\n 2：数据缺失，集群使用时将出现异常。\n 3：没有获取到集群状态</t>
  </si>
  <si>
    <t>如果在不影响业务前提下，连续一周固定时间出现告警“2”，可将连续触发次数调高到5次。</t>
  </si>
  <si>
    <t>最大JVM堆使用率</t>
  </si>
  <si>
    <t>max_jvm_heap_usage</t>
  </si>
  <si>
    <t>CSS集群中各个节点的JVM堆使用率的最大值</t>
  </si>
  <si>
    <t>最大CPU利用率</t>
  </si>
  <si>
    <t>max_cpu_usage</t>
  </si>
  <si>
    <t>CSS集群中各个节点的CPU利用率的最大值。</t>
  </si>
  <si>
    <t>分片数量</t>
  </si>
  <si>
    <t>total_shards_count</t>
  </si>
  <si>
    <t>CSS集群的分片数量.</t>
  </si>
  <si>
    <t>用户节点数 * 1000</t>
  </si>
  <si>
    <t>节点数量</t>
  </si>
  <si>
    <t>nodes_count</t>
  </si>
  <si>
    <t>CSS集群的节点数量</t>
  </si>
  <si>
    <t>Write队列中总排队任务数</t>
  </si>
  <si>
    <t>sum_thread_pool_write_queue</t>
  </si>
  <si>
    <t>写入线程池中的排队任务数</t>
  </si>
  <si>
    <t>Search队列中总排队任务数</t>
  </si>
  <si>
    <t>sum_thread_pool_search_queue</t>
  </si>
  <si>
    <t>CSS集群中各节点在搜索线程池中的排队任务数之和</t>
  </si>
  <si>
    <t>Write队列中总的已拒绝任务数</t>
  </si>
  <si>
    <t>sum_thread_pool_write_rejected</t>
  </si>
  <si>
    <t>CSS集群中各节点在写入线程池中的已拒绝任务数之和</t>
  </si>
  <si>
    <t>Search队列中总的已拒绝任务数</t>
  </si>
  <si>
    <t>sum_thread_pool_search_rejected</t>
  </si>
  <si>
    <t>CSS集群中各节点在搜索线程池中的已拒绝任务数之和</t>
  </si>
  <si>
    <t>Search队列中最大排队任务数</t>
  </si>
  <si>
    <t>max_thread_pool_search_queue</t>
  </si>
  <si>
    <t>CSS集群中各个节点在搜索线程池中的排队任务数的最大值</t>
  </si>
  <si>
    <t>Write队列中平均排队任务数</t>
  </si>
  <si>
    <t>avg_thread_pool_write_queue</t>
  </si>
  <si>
    <t>CSS集群中各节点在写入线程池中的排队任务数的平均值</t>
  </si>
  <si>
    <t>Search队列中平均排队任务数</t>
  </si>
  <si>
    <t>avg_thread_pool_search_queue</t>
  </si>
  <si>
    <t>CSS集群中各节点在搜索线程池中的排队任务数的平均值</t>
  </si>
  <si>
    <t>Write队列中平均已拒绝任务数</t>
  </si>
  <si>
    <t>avg_thread_pool_write_rejected</t>
  </si>
  <si>
    <t>CSS集群中各节点写入线程池中的已拒绝任务数的平均值</t>
  </si>
  <si>
    <t>最大Task运行时长</t>
  </si>
  <si>
    <t>task_max_running_time</t>
  </si>
  <si>
    <t>该指标为集群运行的所有task中，运行时长最长的task的耗时。</t>
  </si>
  <si>
    <t>虚拟专用网络</t>
  </si>
  <si>
    <t>SYS.VPN</t>
  </si>
  <si>
    <t>VPN</t>
  </si>
  <si>
    <t>企业版站点入云VPN连接</t>
  </si>
  <si>
    <t>evpn_connection_id</t>
  </si>
  <si>
    <t>percentage(%)</t>
  </si>
  <si>
    <t>VPN连接状态</t>
  </si>
  <si>
    <t>connection_status</t>
  </si>
  <si>
    <t>展示VPN连接的通断状态。\n0：未连接状态；\n1：连接状态；\n2：未知状态。</t>
  </si>
  <si>
    <t>企业版站点入云VPN网关</t>
  </si>
  <si>
    <t>evpn_gateway_id</t>
  </si>
  <si>
    <t>gateway_recv_rate_usage</t>
  </si>
  <si>
    <t>建议根据实际情况配置</t>
  </si>
  <si>
    <t>gateway_send_rate_usage</t>
  </si>
  <si>
    <t>VPN连接</t>
  </si>
  <si>
    <t>connection_id</t>
  </si>
  <si>
    <t>云手机服务器</t>
  </si>
  <si>
    <t>SYS.CPH</t>
  </si>
  <si>
    <t>CPH</t>
  </si>
  <si>
    <t>云手机服务器-云手机</t>
  </si>
  <si>
    <t>instance_id,cph_id</t>
  </si>
  <si>
    <t>cph_cpu_usage</t>
  </si>
  <si>
    <t>云手机所在容器CPU使用率</t>
  </si>
  <si>
    <t>cph_mem_usedPercent</t>
  </si>
  <si>
    <t>云手机所在容器内存使用率</t>
  </si>
  <si>
    <t>云手机磁盘使用率</t>
  </si>
  <si>
    <t>cph_disk_usedPercent</t>
  </si>
  <si>
    <t>云手机所在容器的磁盘使用率</t>
  </si>
  <si>
    <t>云手机数据盘使用率</t>
  </si>
  <si>
    <t>cph_disk_percent</t>
  </si>
  <si>
    <t>云手机系统盘使用率</t>
  </si>
  <si>
    <t>cph_sysdisk_percent</t>
  </si>
  <si>
    <t>云手机服务器-磁盘</t>
  </si>
  <si>
    <t>instance_id,disk_name</t>
  </si>
  <si>
    <t>disk_usage_read_await</t>
  </si>
  <si>
    <t>该指标用于统计测量对象测量在周期内平均每个读IO的操作时长</t>
  </si>
  <si>
    <t>ms/操作</t>
  </si>
  <si>
    <t>ms/operation</t>
  </si>
  <si>
    <t>disk_usage_write_await</t>
  </si>
  <si>
    <t>该指标用于统计测量对象在测量周期内平均每个写IO的操作时长</t>
  </si>
  <si>
    <t>云手机服务器-GPU</t>
  </si>
  <si>
    <t>instance_id,gpu_index</t>
  </si>
  <si>
    <t>GPU状态</t>
  </si>
  <si>
    <t>gpu_usage_status</t>
  </si>
  <si>
    <t>该指标用于统计测量对象当前的状态</t>
  </si>
  <si>
    <t>共享存储空间使用率</t>
  </si>
  <si>
    <t>cph_sharebase_usedPercent</t>
  </si>
  <si>
    <t>云手机共享存储空间使用率</t>
  </si>
  <si>
    <t>该指标用于统计测量对象出云平台的带宽使用率，以百分比为单位</t>
  </si>
  <si>
    <t>分布式缓存服务</t>
  </si>
  <si>
    <t>SYS.DCS</t>
  </si>
  <si>
    <t>DCS</t>
  </si>
  <si>
    <t>DCS Redis实例</t>
  </si>
  <si>
    <t>dcs_instance_id</t>
  </si>
  <si>
    <t>每秒并发操作数</t>
  </si>
  <si>
    <t>instantaneous_ops</t>
  </si>
  <si>
    <t>该指标用于统计每秒处理的命令数。</t>
  </si>
  <si>
    <t>活跃的客户端数量</t>
  </si>
  <si>
    <t>该指标用于统计已连接的客户端数量，包括系统监控、配置同步和业务相关的连接数，不包括来自从节点的连接。</t>
  </si>
  <si>
    <t>&gt;70%</t>
  </si>
  <si>
    <t>&gt;80%
或者
环比下降 100%</t>
  </si>
  <si>
    <t>total_connections_received</t>
  </si>
  <si>
    <t>该指标用于统计周期内新建的连接数，包括从节点，系统监控、配置同步和业务相关的连接数。</t>
  </si>
  <si>
    <t>命令最大时延</t>
  </si>
  <si>
    <t>command_max_delay</t>
  </si>
  <si>
    <t>统计命令最大时延。</t>
  </si>
  <si>
    <t>是否存在慢日志</t>
  </si>
  <si>
    <t>is_slow_log_exist</t>
  </si>
  <si>
    <t>统计实例是否存在慢日志。\n 1：存在 0：不存在</t>
  </si>
  <si>
    <t>认证失败次数</t>
  </si>
  <si>
    <t>流控次数</t>
  </si>
  <si>
    <t>rx_controlled</t>
  </si>
  <si>
    <t>统计周期内被流控的次数</t>
  </si>
  <si>
    <t>带宽使用率</t>
  </si>
  <si>
    <t>bandwidth_usage</t>
  </si>
  <si>
    <t>计算当前流量带宽（网络瞬时输入流量与网络瞬时输出流量的平均值）与最大带宽限制的百分比</t>
  </si>
  <si>
    <t>实例节点状态</t>
  </si>
  <si>
    <t>node_status</t>
  </si>
  <si>
    <t>实例节点状态，状态正常时为0，异常时为1</t>
  </si>
  <si>
    <t>最大时延</t>
  </si>
  <si>
    <t>command_max_rt</t>
  </si>
  <si>
    <t>节点从接收命令到发出响应的时延最大值</t>
  </si>
  <si>
    <t>μs</t>
  </si>
  <si>
    <t>command_avg_rt</t>
  </si>
  <si>
    <t>节点从接收命令到发出响应的时延平均值</t>
  </si>
  <si>
    <t>CPU平均使用率</t>
  </si>
  <si>
    <t>cpu_avg_usage</t>
  </si>
  <si>
    <t>该指标用于统计当前CPU平均使用率的百分比。</t>
  </si>
  <si>
    <t>DCS Redis实例-Proxy节点 (4.0以上)</t>
  </si>
  <si>
    <t>dcs_instance_id,dcs_cluster_proxy2_node</t>
  </si>
  <si>
    <t>需要注意维度，如果存在proxy3.0以下的指标需要配置“Redis3.0 Proxy节点”</t>
  </si>
  <si>
    <t>该指标用于统计当前连接数与最大连接数限制的百分比</t>
  </si>
  <si>
    <t>DCS Redis实例-Proxy节点</t>
  </si>
  <si>
    <t>dcs_instance_id,dcs_cluster_proxy_node</t>
  </si>
  <si>
    <t>p_connected_clients</t>
  </si>
  <si>
    <t>DCS Redis实例-数据节点</t>
  </si>
  <si>
    <t>dcs_instance_id,dcs_cluster_redis_node</t>
  </si>
  <si>
    <t>DCS Memcached实例</t>
  </si>
  <si>
    <t>dcs_memcached_instance_id</t>
  </si>
  <si>
    <t>mc_connected_clients</t>
  </si>
  <si>
    <t>mc_connections_received</t>
  </si>
  <si>
    <t>mc_is_slow_log_exist</t>
  </si>
  <si>
    <t>mc_auth_errors</t>
  </si>
  <si>
    <t>该指标用于统计认证失败次数。</t>
  </si>
  <si>
    <t>智能边缘小站</t>
  </si>
  <si>
    <t>SYS.IES</t>
  </si>
  <si>
    <t>IES</t>
  </si>
  <si>
    <t>边缘小站</t>
  </si>
  <si>
    <t>站点连接状态</t>
  </si>
  <si>
    <t>connect_status</t>
  </si>
  <si>
    <t>该指标为站点云边网络连接状态，0:代表站点断连，存在故障；1:代表站点部分断连，亚健康状态；2:代表站点状态正常。</t>
  </si>
  <si>
    <t>点播云服务</t>
  </si>
  <si>
    <t>SYS.VOD</t>
  </si>
  <si>
    <t>VOD</t>
  </si>
  <si>
    <t>HTTP状态码5xx汇总。</t>
  </si>
  <si>
    <t>视频直播</t>
  </si>
  <si>
    <t>SYS.LIVE</t>
  </si>
  <si>
    <t>LIVE</t>
  </si>
  <si>
    <t>domain</t>
  </si>
  <si>
    <t>5xx状态码占比</t>
  </si>
  <si>
    <t>http_5xx_proportion</t>
  </si>
  <si>
    <t>该指标用于统计测量对象的5xx状态码占比</t>
  </si>
  <si>
    <t>媒体直播CDN服务</t>
  </si>
  <si>
    <t>medialive_cdn</t>
  </si>
  <si>
    <t>http_code_5xx_proportion</t>
  </si>
  <si>
    <t>该指标用于查询5xx状态码占比。</t>
  </si>
  <si>
    <t>文档数据库服务</t>
  </si>
  <si>
    <t>SYS.DDS</t>
  </si>
  <si>
    <t>DDS</t>
  </si>
  <si>
    <t>文档数据库实例-文档数据库节点</t>
  </si>
  <si>
    <t>mongodb_instance_id,mongodb_node_id</t>
  </si>
  <si>
    <t>mongo026_repl_lag</t>
  </si>
  <si>
    <t>mongo031_cpu_usage</t>
  </si>
  <si>
    <t>mongo032_mem_usage</t>
  </si>
  <si>
    <t>mongo035_disk_usage</t>
  </si>
  <si>
    <t>mongo039_avg_disk_sec_per_read</t>
  </si>
  <si>
    <t>该指标用于统计某段时间平均每次读取硬盘所耗时间</t>
  </si>
  <si>
    <t>mongo040_avg_disk_sec_per_write</t>
  </si>
  <si>
    <t>该指标用于统计某段时间平均每次写入硬盘所耗时间</t>
  </si>
  <si>
    <t>mongo007_connections_usage</t>
  </si>
  <si>
    <t>该指标用于统计连接到实例节点的连接数占最大连接数的百分比</t>
  </si>
  <si>
    <t>Wiredtiger使用中的缓存百分比</t>
  </si>
  <si>
    <t>mongo054_wt_cache_used_percent</t>
  </si>
  <si>
    <t>Wiredtiger使用中的缓存大小百分数</t>
  </si>
  <si>
    <t>Wiredtiger脏数据的缓存百分比</t>
  </si>
  <si>
    <t>mongo055_wt_cache_dirty_percent</t>
  </si>
  <si>
    <t>Wiredtiger脏数据的缓存大小百分数</t>
  </si>
  <si>
    <t>全球加速</t>
  </si>
  <si>
    <t>SYS.GA</t>
  </si>
  <si>
    <t>GA</t>
  </si>
  <si>
    <t>NPU RoCE的重传报文数</t>
  </si>
  <si>
    <t>npu_roce_new_pkt_rty_num</t>
  </si>
  <si>
    <t>该指标描述NPU RoCE发送的重传的数量统计</t>
  </si>
  <si>
    <t>NPU RoCE接收的PSN异常报文数</t>
  </si>
  <si>
    <t>npu_roce_out_of_order_num</t>
  </si>
  <si>
    <t>该指标描述NPU RoCE接收的PSN\u003e预期PSN的报文，或重复PSN报文数。乱序或丢包，会触发重传</t>
  </si>
  <si>
    <t>服务名称</t>
  </si>
  <si>
    <t>maas_service_name</t>
  </si>
  <si>
    <t>服务名称-API KEY</t>
  </si>
  <si>
    <t>maas_service_name,maas_key_id</t>
  </si>
  <si>
    <t>Modelarts</t>
  </si>
  <si>
    <t>MA Lite Server/A2+A3+300IDuo</t>
  </si>
  <si>
    <t>0</t>
  </si>
  <si>
    <t>98</t>
  </si>
  <si>
    <t>MA Lite Server/A2+A3</t>
  </si>
  <si>
    <t>64</t>
  </si>
  <si>
    <t>&gt;
&lt;</t>
  </si>
  <si>
    <t>80
-10</t>
  </si>
  <si>
    <t>MA Lite Server/A2+A3/RoCE光模块</t>
  </si>
  <si>
    <t>MA Lite Server/A2+A3/RoCE</t>
  </si>
  <si>
    <t>SERVICE.BMS.instance_id,mount_point.disk_usedPercent</t>
  </si>
  <si>
    <t>SERVICE.BMS.instance_id,mount_point.disk_inodesUsedPercent</t>
  </si>
  <si>
    <t>SERVICE.BMS.instance_id,mount_point.disk_fs_rwstate</t>
  </si>
  <si>
    <t>SERVICE.BMS.instance_id,mount_point.disk_ioUtils</t>
  </si>
  <si>
    <t>SERVICE.BMS.instance_id,network_interface_card.net_errin</t>
  </si>
  <si>
    <t>SERVICE.BMS.instance_id,network_interface_card.net_errout</t>
  </si>
  <si>
    <t>SERVICE.BMS.instance_id,network_interface_card.net_dropin</t>
  </si>
  <si>
    <t>SERVICE.BMS.instance_id,network_interface_card.net_dropout</t>
  </si>
  <si>
    <t>SERVICE.BMS.instance_id,npu.npu_util_rate_ctrl_cpu</t>
  </si>
  <si>
    <t>SERVICE.BMS.instance_id,npu.npu_driver_health</t>
  </si>
  <si>
    <t>SERVICE.BMS.instance_id,npu.npu_hbm_ecc_enable</t>
  </si>
  <si>
    <t>SERVICE.BMS.instance_id,npu.npu_hbm_double_bit_isolated_pages_cnt</t>
  </si>
  <si>
    <t>SERVICE.BMS.instance_id,npu.npu_aicpu_avg_util_rate</t>
  </si>
  <si>
    <t>SERVICE.BMS.instance_id,npu.npu_util_rate_hbm</t>
  </si>
  <si>
    <t>SERVICE.BMS.instance_id,npu.npu_opt_temperature</t>
  </si>
  <si>
    <t>SERVICE.BMS.instance_id.cpu_usage</t>
  </si>
  <si>
    <t>SERVICE.BMS.instance_id.load_average5</t>
  </si>
  <si>
    <t>SERVICE.BMS.instance_id.mem_usedPercent</t>
  </si>
  <si>
    <t>SERVICE.BMS.instance_id,disk.disk_ioUtils</t>
  </si>
  <si>
    <t>SERVICE.BMS.instance_id,npu.npu_roce_new_pkt_rty_num</t>
  </si>
  <si>
    <t>SERVICE.BMS.instance_id,npu.npu_roce_out_of_order_num</t>
  </si>
  <si>
    <t>事件名称</t>
  </si>
  <si>
    <t>事件ID</t>
  </si>
  <si>
    <t>事件说明</t>
  </si>
  <si>
    <t>处理建议</t>
  </si>
  <si>
    <t>事件影响</t>
  </si>
  <si>
    <t>事件级别</t>
  </si>
  <si>
    <t>告警级别</t>
  </si>
  <si>
    <t>触发类型</t>
  </si>
  <si>
    <t>触发时间周期</t>
  </si>
  <si>
    <t>触发次数</t>
  </si>
  <si>
    <t>V24.Q4级别</t>
  </si>
  <si>
    <t>是否一致</t>
  </si>
  <si>
    <t>temp</t>
  </si>
  <si>
    <t>是否一键告警</t>
  </si>
  <si>
    <t>数据库代理与数据库连通性异常</t>
  </si>
  <si>
    <t>proxy_connection_failure_to_db</t>
  </si>
  <si>
    <t>数据库代理与主库建立新连接失败，与只读库可能存在建立新连接失败。一般是由于数据库/数据库代理压力过大，或代理与数据库间网络异常。</t>
  </si>
  <si>
    <t>观察数据库与数据库代理压力指标后（连接数、活跃连接数、CPU使用率）调整相应参数，压力指标正常情况下提交工单处理。</t>
  </si>
  <si>
    <t>通过代理访问的业务流量中断。</t>
  </si>
  <si>
    <t>底线事件</t>
  </si>
  <si>
    <t>紧急</t>
  </si>
  <si>
    <t>触发</t>
  </si>
  <si>
    <t>数据库代理与数据库只读库连通性异常</t>
  </si>
  <si>
    <t>proxy_connection_failure_to_replica</t>
  </si>
  <si>
    <t>数据库代理与只读库建立新连接失败。一般是由于只读库压力过大，或代理与只读库间网络异常。</t>
  </si>
  <si>
    <t>观察只读库压力指标后（连接数、活跃连接数、CPU使用率）调整相应参数，压力指标正常情况下提交工单处理。</t>
  </si>
  <si>
    <t>通过代理访问的业务读流量部分中断。</t>
  </si>
  <si>
    <t>数据库安全组未放通数据库代理地址</t>
  </si>
  <si>
    <t>proxy_connection_failure_cause_security_group</t>
  </si>
  <si>
    <t>一般是由于数据库安全组未放通代理地址导致。</t>
  </si>
  <si>
    <t>修改数据库所使用安全组规则放通代理地址。</t>
  </si>
  <si>
    <t>弹性公网IP</t>
  </si>
  <si>
    <t>SYS.EIP</t>
  </si>
  <si>
    <t>EIP</t>
  </si>
  <si>
    <t>EIP封堵</t>
  </si>
  <si>
    <t>blockEIP</t>
  </si>
  <si>
    <t>带宽超过5GB就会封堵，相当于把流量直接丢弃。带宽严重超限或受到攻击，一般是受到了DDoS攻击。</t>
  </si>
  <si>
    <t>更换EIP，避免业务受到影响。
同时查看事件中的封堵原因，进行相应处理。</t>
  </si>
  <si>
    <t>业务受影响</t>
  </si>
  <si>
    <t>重要</t>
  </si>
  <si>
    <t>安全稳固</t>
  </si>
  <si>
    <t>EIP开始DDoS清洗</t>
  </si>
  <si>
    <t>ddosCleanEIP</t>
  </si>
  <si>
    <t>客户购买的EIP发生了DDoS清洗。</t>
  </si>
  <si>
    <t>查看是否遭受攻击。</t>
  </si>
  <si>
    <t>客户的业务可能受损。</t>
  </si>
  <si>
    <t>提示</t>
  </si>
  <si>
    <t>Eip结束DDoS清洗</t>
  </si>
  <si>
    <t>ddosEndCleanEip</t>
  </si>
  <si>
    <t>客户购买的EIP结束了DDoS清洗。</t>
  </si>
  <si>
    <t>数据盘空间不足</t>
  </si>
  <si>
    <t>DDSRiskyDataDiskUsage</t>
  </si>
  <si>
    <t>数据盘空间不足，产生此告警。</t>
  </si>
  <si>
    <t>请参见DDS用户指南中“扩容磁盘”的内容，进行磁盘扩容。</t>
  </si>
  <si>
    <t>实例被设为只读模式，数据无法写入。</t>
  </si>
  <si>
    <t>数据盘空间已扩容并恢复可写</t>
  </si>
  <si>
    <t>DDSDataDiskUsageRecovered</t>
  </si>
  <si>
    <t>数据盘空间已扩容并恢复可写，产生此事件。</t>
  </si>
  <si>
    <t>无需处理。</t>
  </si>
  <si>
    <t>无影响。</t>
  </si>
  <si>
    <t>复制状态异常</t>
  </si>
  <si>
    <t>DDSAbnormalReplicationStatus</t>
  </si>
  <si>
    <t>出现“复制状态异常”事件通常有两种情况：
1. 主机与备机或只读实例之间复制时延太大（一般在写入大量数据或执行大事务的时候出现），在业务高峰期容易出现阻塞。
2. 主机与备机或只读实例之间的网络中断，导致主机与备机或只读实例复制异常。</t>
  </si>
  <si>
    <t>提交工单。</t>
  </si>
  <si>
    <t>1. 不会导致原来实例的读写中断，但会影响备机上数据的实时性。
2. 主备之间复制时延持续增长，有备机脱节风险。</t>
  </si>
  <si>
    <t>复制状态异常已恢复</t>
  </si>
  <si>
    <t>DDSReplicationStatusRecovered</t>
  </si>
  <si>
    <t>复制时延已回到正常范围内，或者主备之间的网络通信恢复。</t>
  </si>
  <si>
    <t>不需要处理。</t>
  </si>
  <si>
    <t>实例运行状态异常</t>
  </si>
  <si>
    <t>DDSFaultyDBInstance</t>
  </si>
  <si>
    <t>由于灾难或者物理机故障导致实例故障时，会上报该事件，属于关键告警事件。</t>
  </si>
  <si>
    <t>检查数据库服务是否可以正常使用，并提交工单。</t>
  </si>
  <si>
    <t>可能导致数据库服务不可用。</t>
  </si>
  <si>
    <t>实例运行状态异常已恢复</t>
  </si>
  <si>
    <t>DDSDBInstanceRecovered</t>
  </si>
  <si>
    <t>针对灾难性的故障，DDS有高可用工具会自动进行恢复或者手动恢复，执行完成后会上报该事件。</t>
  </si>
  <si>
    <t>节点运行状态异常</t>
  </si>
  <si>
    <t>DDSFaultyDBNode</t>
  </si>
  <si>
    <t>由于灾难或者物理机故障导致数据库节点故障时，会上报该事件，属于关键告警事件。</t>
  </si>
  <si>
    <t>节点运行状态异常恢复</t>
  </si>
  <si>
    <t>DDSDBNodeRecovered</t>
  </si>
  <si>
    <t>实例主备切换</t>
  </si>
  <si>
    <t>DDSPrimaryStandbySwitched</t>
  </si>
  <si>
    <t>在手动触发的主备倒换或节点故障自动触发的故障倒换场景下，会上报该事件。</t>
  </si>
  <si>
    <t>NPU: npu-smi info查询缺少设备</t>
  </si>
  <si>
    <t>NPUSMICardNotFound</t>
  </si>
  <si>
    <t>新增事件</t>
  </si>
  <si>
    <t>NPU: PCIe链路异常</t>
  </si>
  <si>
    <t>PCIeErrorFound</t>
  </si>
  <si>
    <t>NPU: lspci查询缺少设备</t>
  </si>
  <si>
    <t>LspciCardNotFound</t>
  </si>
  <si>
    <t>NPU: 存在不可纠正ECC错误</t>
  </si>
  <si>
    <t>NPU: errorcode告警</t>
  </si>
  <si>
    <t>NPUErrorCodeWarning</t>
  </si>
  <si>
    <t>OS出现ReadOnly问题</t>
  </si>
  <si>
    <t>ReadOnlyFileSystem</t>
  </si>
  <si>
    <t>NPU：驱动固件不匹配</t>
  </si>
  <si>
    <t>NpuDriverFirmwareMismatch</t>
  </si>
  <si>
    <t>NPU：RoCE网卡down</t>
  </si>
  <si>
    <t>RoCELinkStatusDown</t>
  </si>
  <si>
    <t>NPU：RoCE网卡健康状态异常</t>
  </si>
  <si>
    <t>RoCEHealthStatusError</t>
  </si>
  <si>
    <t>NPU：Roce网卡配置文件/etc/hccn.conf不存在</t>
  </si>
  <si>
    <t>HccnConfNotExisted</t>
  </si>
  <si>
    <t>本地磁盘挂载巡检</t>
  </si>
  <si>
    <t>MountDiskSystem</t>
  </si>
  <si>
    <t>NPU：Roce 端口未散列配置</t>
  </si>
  <si>
    <t>RoCEUdpConfigError</t>
  </si>
  <si>
    <t>NPU环境相关命令检测</t>
  </si>
  <si>
    <t>NpuToolsWarning</t>
  </si>
  <si>
    <t>终端节点关联的资源被修改</t>
  </si>
  <si>
    <t>endpointAssociatedResourceChanged</t>
  </si>
  <si>
    <t>终端节点关联的资源被修改。</t>
  </si>
  <si>
    <t>重新为终端节点绑定后端资源。</t>
  </si>
  <si>
    <t>导致网络不通。</t>
  </si>
  <si>
    <t>AIP封堵</t>
  </si>
  <si>
    <t>blockAIP</t>
  </si>
  <si>
    <t>查看事件中的封堵原因，进行相应处理。</t>
  </si>
  <si>
    <t>业务受影响。</t>
  </si>
  <si>
    <t>无。</t>
  </si>
  <si>
    <t>进程状态告警</t>
  </si>
  <si>
    <t>ProcessStatusAlarm</t>
  </si>
  <si>
    <t>GaussDB关键进程退出，包括：CMS/CMA、ETCD、GTM、CN、DN。</t>
  </si>
  <si>
    <t>等待进程自动恢复或者自动主备切换，观察业务是否恢复。如果业务未恢复，您可以在管理控制台右上角，选择“新建工单”，提交工单。</t>
  </si>
  <si>
    <t>主机进程故障，在主机上进行的业务将中断回滚。备机进程故障不影响业务。</t>
  </si>
  <si>
    <t>组件状态告警</t>
  </si>
  <si>
    <t>ComponentStatusAlarm</t>
  </si>
  <si>
    <t>GaussDB关键组件无响应，包括：CMA、ETCD、GTM、CN、DN。</t>
  </si>
  <si>
    <t>主机进程无响应，在主机上进行的业务将无响应。备机进程故障不影响业务。</t>
  </si>
  <si>
    <t>集群状态告警</t>
  </si>
  <si>
    <t>ClusterStatusAlarm</t>
  </si>
  <si>
    <t>集群状态异常，包括：</t>
  </si>
  <si>
    <t>您可以在管理控制台右上角，选择“新建工单”，提交工单。</t>
  </si>
  <si>
    <t>集群只读： 业务只读。</t>
  </si>
  <si>
    <t>状态转换告警</t>
  </si>
  <si>
    <t>StateTransitionAlarm</t>
  </si>
  <si>
    <t>集群出现如下重要事件：DN build/build失败、DN强切、DN主备切换/failover、GTM主备切换/failover。</t>
  </si>
  <si>
    <t>等待自动恢复，观察业务是否恢复。如果业务未恢复，您可以在管理控制台右上角，选择“新建工单”，提交工单。</t>
  </si>
  <si>
    <t>部分业务受损。</t>
  </si>
  <si>
    <t>GaussDBV5FaultyDBInstance</t>
  </si>
  <si>
    <t>GaussDBV5InstanceRecovered</t>
  </si>
  <si>
    <t>针对灾难性的故障，GaussDB有高可用工具会自动进行恢复或者手动恢复，执行完成后会上报该事件。</t>
  </si>
  <si>
    <t>GaussDBV5FaultyDBNode</t>
  </si>
  <si>
    <t>检查数据库服务是否可以正常使用，并在管理控制台右上角，选择“新建工单”，提交工单。</t>
  </si>
  <si>
    <t>节点运行状态异常已恢复</t>
  </si>
  <si>
    <t>GaussDBV5FaultyDBNodeRecovered</t>
  </si>
  <si>
    <t>一般是由于底层资源不足等原因导致。</t>
  </si>
  <si>
    <t>存储扩容失败</t>
  </si>
  <si>
    <t>GaussDBV5EnlargeVolumeFailed</t>
  </si>
  <si>
    <t>您可以在管理控制台右上角，选择“新建工单”，提交工单协调资源再重试扩容操作。</t>
  </si>
  <si>
    <t>如果磁盘满，会导致业务中断。</t>
  </si>
  <si>
    <t>检查业务是否自愈。如果应用未恢复，需要重启应用进行恢复。</t>
  </si>
  <si>
    <t>实例长连接会中断。</t>
  </si>
  <si>
    <t>实例主备切换（故障切换）</t>
  </si>
  <si>
    <t>masterStandbyFailover</t>
  </si>
  <si>
    <t>Redis主节点异常，触发主从倒换机制，备节点升主。</t>
  </si>
  <si>
    <t>Memcached主从倒换</t>
  </si>
  <si>
    <t>memcachedMasterStandbyFailover</t>
  </si>
  <si>
    <t>Memcached主节点异常，触发主从倒换机制，备节点升主。</t>
  </si>
  <si>
    <t>Redis节点状态异常</t>
  </si>
  <si>
    <t>redisNodeStatusAbnormal</t>
  </si>
  <si>
    <t>Redis节点状态异常。</t>
  </si>
  <si>
    <t>检查业务是否受影响 ，如果影响联系运维人员处理。</t>
  </si>
  <si>
    <t>节点状态异常，主节点异常会自动主备切换。从节点异常，如果客户端直连从节点进行读写分离，读操作会出现异常。</t>
  </si>
  <si>
    <t>Redis节点状态恢复正常</t>
  </si>
  <si>
    <t>redisNodeStatusNormal</t>
  </si>
  <si>
    <t>Redis节点从异常恢复正常。</t>
  </si>
  <si>
    <t>检查业务是否恢复。如果应用未重连，需要重启应用进行恢复。</t>
  </si>
  <si>
    <t>异常恢复事件。</t>
  </si>
  <si>
    <t>Memcached实例状态异常</t>
  </si>
  <si>
    <t>memcachedInstanceStatusAbnormal</t>
  </si>
  <si>
    <t>Memcached节点状态异常。</t>
  </si>
  <si>
    <t>Memcached实例状态异常,实例可能无法访问。</t>
  </si>
  <si>
    <t>Memcached实例状态异常恢复</t>
  </si>
  <si>
    <t>memcachedInstanceStatusNormal</t>
  </si>
  <si>
    <t>Memcached节点从异常恢复正常。</t>
  </si>
  <si>
    <t>实例备份失败</t>
  </si>
  <si>
    <t>instanceBackupFailure</t>
  </si>
  <si>
    <t>DCS实例备份失败，一般可能是由于访问OBS失败等原因导致。</t>
  </si>
  <si>
    <t>手动备份进行重试。</t>
  </si>
  <si>
    <t>自动备份失败。</t>
  </si>
  <si>
    <t>次要</t>
  </si>
  <si>
    <t>abnormalReplicationStatus</t>
  </si>
  <si>
    <t>replicationStatusRecovered</t>
  </si>
  <si>
    <t>faultyDBInstance</t>
  </si>
  <si>
    <t>DBInstanceRecovered</t>
  </si>
  <si>
    <t>数据库进程重新启动</t>
  </si>
  <si>
    <t>DatabaseProcessRestarted</t>
  </si>
  <si>
    <t>实例磁盘满</t>
  </si>
  <si>
    <t>instanceDiskFull</t>
  </si>
  <si>
    <t>实例磁盘满恢复</t>
  </si>
  <si>
    <t>instanceDiskFullRecovered</t>
  </si>
  <si>
    <t>PrimaryStandbySwitched</t>
  </si>
  <si>
    <t>主备切换异常</t>
  </si>
  <si>
    <t>activeStandBySwitchFailed</t>
  </si>
  <si>
    <t>主备切换异常主要是由于网络、物理机有某种故障导致只读节点没有接管主节点的业务，短时间内会恢复到原主节点继续提供服务。</t>
  </si>
  <si>
    <t>无法完成主备切换（只读升主）。</t>
  </si>
  <si>
    <t>规格变更业务失败</t>
  </si>
  <si>
    <t>flavorAlterationFailed</t>
  </si>
  <si>
    <t>规格变更失败产生的事件，一般是配额大小不足，底层资源耗尽导致。</t>
  </si>
  <si>
    <t>无法完成规格变更。</t>
  </si>
  <si>
    <t>TaurusInstanceRunningStatusAbnormal</t>
  </si>
  <si>
    <t>实例运行状态异常产生的事件，可能原因是实例进程故障，或者实例到DFV存储间通信问题。</t>
  </si>
  <si>
    <t>实例异常，业务可能受损。</t>
  </si>
  <si>
    <t>TaurusInstanceRunningStatusRecovered</t>
  </si>
  <si>
    <t>实例运行状态异常后恢复产生的事件。</t>
  </si>
  <si>
    <t>观察业务运行情况。</t>
  </si>
  <si>
    <t>TaurusNodeRunningStatusAbnormal</t>
  </si>
  <si>
    <t>运行节点状态异常产生的事件，可能原因是节点进程故障，或者节点到DFV存储间通信问题。</t>
  </si>
  <si>
    <t>观察实例状态和业务运行情况。</t>
  </si>
  <si>
    <t>节点异常，可能触发只读升主。</t>
  </si>
  <si>
    <t>TaurusNodeRunningStatusRecovered</t>
  </si>
  <si>
    <t>节点运行状态异常后恢复产生的事件。</t>
  </si>
  <si>
    <t>观察业务情况。</t>
  </si>
  <si>
    <t>实例发生主备倒换</t>
  </si>
  <si>
    <t>TaurusActiveStandbySwitched</t>
  </si>
  <si>
    <t>实例故障时被动倒换产生的事件。</t>
  </si>
  <si>
    <t>检查确认实例状态是否恢复，未解决则提交工单。</t>
  </si>
  <si>
    <t>业务闪断。</t>
  </si>
  <si>
    <t>节点高可用倒换</t>
  </si>
  <si>
    <t>NodeHaSwitch</t>
  </si>
  <si>
    <t>业务可能闪断</t>
  </si>
  <si>
    <t>InfluxDB连接数满</t>
  </si>
  <si>
    <t>InfluxDBConnectionFull</t>
  </si>
  <si>
    <t>新连接无法连到数据库</t>
  </si>
  <si>
    <t>超大集合列</t>
  </si>
  <si>
    <t>TooLargeCollectionColumn</t>
  </si>
  <si>
    <t>当集合列元素个数太多时，会出现集合列查询失败。</t>
  </si>
  <si>
    <t>对集合列的元素个数做限制，遵从规范不超过阈值。
排查业务是否出现异常写入和异常编码，导致写入大集合列。</t>
  </si>
  <si>
    <t>会出现集合列查询失败。</t>
  </si>
  <si>
    <t>查询墓碑数过多</t>
  </si>
  <si>
    <t>TooManyQueryTombstones</t>
  </si>
  <si>
    <t>查询墓碑数过多，可能会导致查询超时，影响查询性能。</t>
  </si>
  <si>
    <t>使用合理的查询删除方式，避免大批次的范围查询</t>
  </si>
  <si>
    <t>可能会导致查询超时，影响查询性能。</t>
  </si>
  <si>
    <t>NoSQLRiskyDataDiskUsage</t>
  </si>
  <si>
    <t>请参见对应服务用户指南中“扩容磁盘”的内容，进行磁盘扩容。</t>
  </si>
  <si>
    <t>NoSQLDataDiskUsageRecovered</t>
  </si>
  <si>
    <t>NoSQLFaultyDBInstance</t>
  </si>
  <si>
    <t>您可以在管理控制台右上角，选择“工单 &gt; 新建工单”，提交工单让运维处理。</t>
  </si>
  <si>
    <t>NoSQLDBInstanceRecovered</t>
  </si>
  <si>
    <t>针对灾难性的故障，NoSQL有高可用工具会自动进行恢复或者手动恢复，执行完成后会上报该事件。</t>
  </si>
  <si>
    <t>NoSQLFaultyDBNode</t>
  </si>
  <si>
    <t>检查数据库服务是否可以正常使用，并在管理控制台右上角，选择“工单 &gt; 新建工单”，提交工单让运维处理。</t>
  </si>
  <si>
    <t>NoSQLDBNodeRecovered</t>
  </si>
  <si>
    <t>NoSQLPrimaryStandbySwitched</t>
  </si>
  <si>
    <t>变更规格失败</t>
  </si>
  <si>
    <t>NoSQLResizeInstanceFailed</t>
  </si>
  <si>
    <t>您可以在管理控制台右上角，选择“工单 &gt; 新建工单”，提交工单让运维在后台协调资源再重试规格变更操作。</t>
  </si>
  <si>
    <t>业务中断。</t>
  </si>
  <si>
    <t>扩卷失败</t>
  </si>
  <si>
    <t>NoSQLScaleUpStorageFailed</t>
  </si>
  <si>
    <t>您可以在管理控制台右上角，选择“工单 &gt; 新建工单”，提交工单让运维在后台协调资源再重试扩卷操作。</t>
  </si>
  <si>
    <t>出现热点分区键</t>
  </si>
  <si>
    <t>HotKeyOccurs</t>
  </si>
  <si>
    <t>客观上是因为主键设置不合理，使得热点数据集中分布在一个分区。客户端不合理的应用程序设计，造成对某一key的频繁读写。</t>
  </si>
  <si>
    <t>1. 选择合理的分区键。
2. 业务增加缓存，业务应用先从缓存中读取热点数据。</t>
  </si>
  <si>
    <t>影响业务请求成功率，存在影响集群性能及稳定性的风险。</t>
  </si>
  <si>
    <t>出现超大分区键</t>
  </si>
  <si>
    <t>BigKeyOccurs</t>
  </si>
  <si>
    <t>主键设计不合理，单个分区的记录数或数据量过大，引起了节点负载不均。</t>
  </si>
  <si>
    <t>1. 选择合理的分区键。
2. 基于现有分区键，增加分区键散列。</t>
  </si>
  <si>
    <t>随着数据量增长，集群稳定性会下降。</t>
  </si>
  <si>
    <t>发生写入降速</t>
  </si>
  <si>
    <t>NoSQLStallingOccurs</t>
  </si>
  <si>
    <t>写入速度快，接近集群规模和实例规格范围允许最大写能力，从而触发数据库自身的限流机制，会发生请求失败情况</t>
  </si>
  <si>
    <t>1. 根据业务的最大写请求速率，调整集群规模或者节点规格。
2. 衡量业务的最大写请求速率，分散业务写峰值速率。</t>
  </si>
  <si>
    <t>影响业务的请求的成功率。</t>
  </si>
  <si>
    <t>发生写入停止</t>
  </si>
  <si>
    <t>NoSQLStoppingOccurs</t>
  </si>
  <si>
    <t>写入速度过快，达到集群规模和实例规格范围允许最大写能力，从而触发数据库自身的限流机制，会发生请求失败情况</t>
  </si>
  <si>
    <t>分布式数据库中间件</t>
  </si>
  <si>
    <t>SYS.DDM</t>
  </si>
  <si>
    <t>resizeFlavorFailed</t>
  </si>
  <si>
    <t>请工单联系运维在后台协调资源再重试规格变更操作。</t>
  </si>
  <si>
    <t>部分节点业务中断。</t>
  </si>
  <si>
    <t>节点扩容失败</t>
  </si>
  <si>
    <t>enlargeNodeFailed</t>
  </si>
  <si>
    <t>请工单联系运维后台协调资源，删除添加失败的节点，重新尝试添加节点。</t>
  </si>
  <si>
    <t>节点扩容失败。</t>
  </si>
  <si>
    <t>逻辑库扩容失败</t>
  </si>
  <si>
    <t>migrateLogicDbFailed</t>
  </si>
  <si>
    <t>一般是由于底层处理失败。</t>
  </si>
  <si>
    <t>请工单联系运维处理。</t>
  </si>
  <si>
    <t>无法实现逻辑库扩容。</t>
  </si>
  <si>
    <t>逻辑库扩容重试失败</t>
  </si>
  <si>
    <t>retryMigrateLogicDbFailed</t>
  </si>
  <si>
    <t>机器参数面网络异常，多机任务无法执行</t>
  </si>
  <si>
    <t>文件系统%s只读</t>
  </si>
  <si>
    <t>请检查磁盘健康状态</t>
  </si>
  <si>
    <t>无法对文件进行写操作</t>
  </si>
  <si>
    <t>NPU驱动固件版本不匹配</t>
  </si>
  <si>
    <t>请从昇腾官网获取匹配版本重新安装</t>
  </si>
  <si>
    <t>无法正常使用NPU卡</t>
  </si>
  <si>
    <t>NPU 卡 %d RoCE Link 状态Down</t>
  </si>
  <si>
    <t>请检查NPU Roce网口状态</t>
  </si>
  <si>
    <t>NPU网卡不可用</t>
  </si>
  <si>
    <t>NPU 卡 %d RoCE 网络健康状态异常</t>
  </si>
  <si>
    <t>请检查NPU Roce网卡健康状态</t>
  </si>
  <si>
    <t>Roce网卡配置文件"/etc/hccn.conf"不存在</t>
  </si>
  <si>
    <t>请检查/etc/hccn.conf网卡配置文件</t>
  </si>
  <si>
    <t>Roce网卡不可用</t>
  </si>
  <si>
    <t>/etc/fstab中有无效的UUID</t>
  </si>
  <si>
    <t>请检查/etc/fstab配置文件中UUID的正确性，否则可能会导致机器重启失败</t>
  </si>
  <si>
    <t>挂载磁盘错误，导致机器重启异常</t>
  </si>
  <si>
    <t>RoCE UDP端口未散列配置</t>
  </si>
  <si>
    <t>请检查NPU RoCE UDP端口配置情况</t>
  </si>
  <si>
    <t>影响NPU卡通信性能</t>
  </si>
  <si>
    <t>hccn_tool不可用
npu-smi不可用
ascend-dmi不可用</t>
  </si>
  <si>
    <t>请检查NPU驱动是否正常
请检查工具包ToolBox是否正常安装</t>
  </si>
  <si>
    <t>无法配置RoCE网卡的IP、网关
无法正常使用NPU卡
无法使用ascend-dmi进行性能分析</t>
  </si>
  <si>
    <t>GPU功能可能异常</t>
  </si>
  <si>
    <t>GPU DRAM 不可纠正ECC报错</t>
  </si>
  <si>
    <t>gpuDRAMUncorrectableEccError</t>
  </si>
  <si>
    <t>1. 存在于（安培及之后架构）的gpu上。
2. GPU的DRAM中发生了不可纠正的ECC错误，无法通过ECC机制自行修复这个问题，验证影响系统稳定性，可能导致程序崩溃。</t>
  </si>
  <si>
    <t>1. 查看事件详细指标ecc.errors.uncorrected.volatile，确认是否存在不可纠正的ECC错误值。
2. 重启GPU进行自动隔离。</t>
  </si>
  <si>
    <t>网卡端口链接断开</t>
  </si>
  <si>
    <t>nicLinkDown</t>
  </si>
  <si>
    <t>本地盘换盘已完成</t>
  </si>
  <si>
    <t>localdisk_recovery_completed</t>
  </si>
  <si>
    <t>因本地盘故障，更换本地盘任务已完成</t>
  </si>
  <si>
    <t>等待运行状态恢复正常，确认本地盘功能是否自动恢复</t>
  </si>
  <si>
    <t>本地盘恢复正常</t>
  </si>
  <si>
    <t>IB卡使用状态异常</t>
  </si>
  <si>
    <t>InfinibandStatusException</t>
  </si>
  <si>
    <t>网卡状态或物理状态异常</t>
  </si>
  <si>
    <t>转硬件处理</t>
  </si>
  <si>
    <t>IB卡无法正常工作</t>
  </si>
  <si>
    <t>如果业务受损，请提交工单。</t>
  </si>
  <si>
    <t>业务中断</t>
  </si>
  <si>
    <t>可能是由于昇腾驱动问题或NPU掉卡</t>
  </si>
  <si>
    <t>转昇腾和硬件处理</t>
  </si>
  <si>
    <t>NPU卡无法正常使用</t>
  </si>
  <si>
    <t>Lspci查询卡状态为rev ff</t>
  </si>
  <si>
    <t>重启，转硬件处理</t>
  </si>
  <si>
    <t>一般是由于NPU掉卡</t>
  </si>
  <si>
    <t>UncorrectableEccErrorCount</t>
  </si>
  <si>
    <t>NPU卡出现Uncorrectable ECC Error硬件故障</t>
  </si>
  <si>
    <t>如果业务受到影响，转硬件换卡</t>
  </si>
  <si>
    <t>业务可能受到影响终止</t>
  </si>
  <si>
    <t>这里涵盖了大量重要及以上的NPU错误码，您可以根据这些错误码进一步定位错误原因</t>
  </si>
  <si>
    <t>对照《黑匣子错误码信息列表》和《健康管理故障定义》进一步定位错误</t>
  </si>
  <si>
    <t>NPU当前存在故障，可能导致客户业务终止</t>
  </si>
  <si>
    <t>业务应用做成高可用。
主机恢复后，确认业务是否自动恢复。</t>
  </si>
  <si>
    <t>异常重启</t>
  </si>
  <si>
    <t>serverReboot</t>
  </si>
  <si>
    <t>裸金属实例异常重启。包括：
操作系统异常导致重启
主机硬件故障导致重启</t>
  </si>
  <si>
    <t>网络中断</t>
  </si>
  <si>
    <t>linkDown</t>
  </si>
  <si>
    <t>裸金属服务器网络中断。包括：
主机异常关机、重启
交换机故障引起的网络中断
网关节点故障引起的中断</t>
  </si>
  <si>
    <t>PCIE异常</t>
  </si>
  <si>
    <t>pcieError</t>
  </si>
  <si>
    <t>裸金属服务器PCIe设备硬件故障。包括：
主板故障
PCIe设备故障</t>
  </si>
  <si>
    <t>影响网络或硬盘读写业务</t>
  </si>
  <si>
    <t>硬盘故障</t>
  </si>
  <si>
    <t>diskError</t>
  </si>
  <si>
    <t>裸金属服务器磁盘故障。包括：
硬盘背板故障
硬盘本身故障</t>
  </si>
  <si>
    <t>影响数据读写业务或主机无法启动</t>
  </si>
  <si>
    <t>云存储连接异常</t>
  </si>
  <si>
    <t>storageError</t>
  </si>
  <si>
    <t>裸金属服务器云硬盘连接异常。包括：
SDI卡故障
远端存储故障</t>
  </si>
  <si>
    <t>GPU驱动掉卡告警</t>
  </si>
  <si>
    <t>gpuDriverLinkFailureAlarm</t>
  </si>
  <si>
    <t>GPU链路正常，nvidia驱动找不到GPU硬件。</t>
  </si>
  <si>
    <t>1、建议尝试虚拟机重启虚拟机恢复业务。
2、如果业务仍然无法恢复，请提交工单。</t>
  </si>
  <si>
    <t>一般驱动问题导致找不到对应位置的gpu卡。</t>
  </si>
  <si>
    <t>GPU卡链路故障告警</t>
  </si>
  <si>
    <t>gpuPcieLinkFailureAlarm</t>
  </si>
  <si>
    <t>GPU链路异常，通过lspci无法查看GPU硬件信息。</t>
  </si>
  <si>
    <t>硬件问题导致gpu卡链路异常，驱动无法使用gpu。</t>
  </si>
  <si>
    <t>虚拟机GPU丢卡告警</t>
  </si>
  <si>
    <t>vmLostGpuAlarm</t>
  </si>
  <si>
    <t>虚拟机实际有的gpu卡数量比规格里应分配的GPU卡数量少。</t>
  </si>
  <si>
    <t>虚拟机gpu卡丢失。</t>
  </si>
  <si>
    <t>企业主机安全服务Agent异常离线</t>
  </si>
  <si>
    <t>hssAgentAbnormalOffline</t>
  </si>
  <si>
    <t>一般是由于Agent与服务器通信异常，主机中的Agent进程异常等原因导致。</t>
  </si>
  <si>
    <t>排查网络故障，待网络恢复正常后，若长时间Agent状态仍为“离线”，可能是Agent进程异常，需要登录主机，重启Agent进程。</t>
  </si>
  <si>
    <t>企业主机安全服务Agent防护状态异常</t>
  </si>
  <si>
    <t>hssAgentAbnormalProtection</t>
  </si>
  <si>
    <t>一般是由于底层资源不足造成Agent工作模式异常等原因导致。</t>
  </si>
  <si>
    <t>登录主机检查资源，如发现内存或者其他系统资源过高等情况，建议优先扩容处理。如果资源够用,重启Agent进程后还是异常，提交工单让运维处理。</t>
  </si>
  <si>
    <t>健康检查异常</t>
  </si>
  <si>
    <t>healthCheckUnhealthy</t>
  </si>
  <si>
    <t>一般是由于后端服务器服务离线导致。事件上报一定次数后，不再上报。</t>
  </si>
  <si>
    <t>检查后端服务器的服务运行状态。</t>
  </si>
  <si>
    <t>ELB不会往异常的后端转发流量，如果云服务器组下只有一个后端，则业务会中断。</t>
  </si>
  <si>
    <t>健康检查恢复正常</t>
  </si>
  <si>
    <t>healthCheckRecovery</t>
  </si>
  <si>
    <t>后端服务器健康检查恢复正常。</t>
  </si>
  <si>
    <t>负载均衡器到后端服务器流量恢复正常。</t>
  </si>
  <si>
    <t>删除桶</t>
  </si>
  <si>
    <t>deleteBucket</t>
  </si>
  <si>
    <t>用户删除桶后，系统会上报该事件。</t>
  </si>
  <si>
    <t>已删除的桶无法恢复，如果您还需要使用桶，请重新创建桶。
注意：
如需创建和已删除桶同名的桶，请在删除桶30分钟后再创建新桶。</t>
  </si>
  <si>
    <t>删除桶，可能会影响您的业务。请确保您的业务对桶没有依赖后再删除桶。</t>
  </si>
  <si>
    <t>删除桶policy配置</t>
  </si>
  <si>
    <t>deleteBucketPolicy</t>
  </si>
  <si>
    <t>用户删除配置的桶策略后，系统会上报该事件。</t>
  </si>
  <si>
    <t>如果您不再需要桶策略，可以删除桶策略。
如果您误删了桶策略，可以重新创建桶策略。</t>
  </si>
  <si>
    <t>删除桶策略后，某些用户可能无法访问桶及桶中的对象。</t>
  </si>
  <si>
    <t>设置桶的ACL</t>
  </si>
  <si>
    <t>setBucketAcl</t>
  </si>
  <si>
    <t>用户为桶配置ACL后，系统会上报该事件。</t>
  </si>
  <si>
    <t>如果您不需要某个账号具有访问桶和桶中对象的权限，可以删除已配置的桶ACL。</t>
  </si>
  <si>
    <t>设置桶ACL后，对应账号会具有访问桶和桶中对象的权限。</t>
  </si>
  <si>
    <t>设置桶的策略</t>
  </si>
  <si>
    <t>setBucketPolicy</t>
  </si>
  <si>
    <t>用户为桶配置桶策略后，系统会上报该事件。</t>
  </si>
  <si>
    <t>如果您不需要使用桶策略对桶和桶中对象进行精细化地权限管理，可以删除已配置的桶策略。</t>
  </si>
  <si>
    <t>设置桶策略后，对应账号会在某些条件下对某个桶或对象具有某些操作权限。</t>
  </si>
  <si>
    <t>操作待删除凭据</t>
  </si>
  <si>
    <t>operateDeletedSecret</t>
  </si>
  <si>
    <t>用户调用接口操作计划删除状态凭据。</t>
  </si>
  <si>
    <t>用户可以考虑取消删除该凭据。</t>
  </si>
  <si>
    <t>到期删除的凭据无法恢复。</t>
  </si>
  <si>
    <t>客户端离线</t>
  </si>
  <si>
    <t>agentOffline</t>
  </si>
  <si>
    <t>请确保客户端状态正常且能够正常连接华为云。</t>
  </si>
  <si>
    <t>可能造成备份任务失败。</t>
  </si>
  <si>
    <t>创建备份失败</t>
  </si>
  <si>
    <t>backupFailed</t>
  </si>
  <si>
    <t>尝试手动创建备份或者联系技术支持</t>
  </si>
  <si>
    <t>可能造成数据丢失</t>
  </si>
  <si>
    <t>稍后重试或联系技术支持</t>
  </si>
  <si>
    <t>复制失败</t>
  </si>
  <si>
    <t>replicationFailed</t>
  </si>
  <si>
    <t>备份复制失败</t>
  </si>
  <si>
    <t>安全云脑</t>
  </si>
  <si>
    <t>SYS.SecMaster</t>
  </si>
  <si>
    <t>SecMaster</t>
  </si>
  <si>
    <t>独享引擎运行异常</t>
  </si>
  <si>
    <t>engineException</t>
  </si>
  <si>
    <t>一般是流量过大或者恶意流程，插件导致。</t>
  </si>
  <si>
    <t>1. 排查流程，插件执行是否占用资源过多。
2. 查看实例监控，短期内是否实例数量暴增。</t>
  </si>
  <si>
    <t>无法执行实例</t>
  </si>
  <si>
    <t>剧本实例执行失败</t>
  </si>
  <si>
    <t>playbookInstanceExecFailed</t>
  </si>
  <si>
    <t>一般是剧本，流程配置出错导致。</t>
  </si>
  <si>
    <t>通过实例监控查看失败原因，修改剧本，流程配置。</t>
  </si>
  <si>
    <t>DAVP: vasmi查询缺少die设备节点</t>
  </si>
  <si>
    <t>DAVPSMICardNotFound</t>
  </si>
  <si>
    <t>有可能是驱动故障或发生掉卡</t>
  </si>
  <si>
    <t>重启虚拟机，仍无法加载设备需转硬件处理</t>
  </si>
  <si>
    <t>DAVP卡无法正常使用</t>
  </si>
  <si>
    <t>DAVP: lspci查询缺少设备</t>
  </si>
  <si>
    <t>DAVPLspciCardNotFound</t>
  </si>
  <si>
    <t>一般是由于DAVP掉卡</t>
  </si>
  <si>
    <t>暂停业务，转硬件查看散热系统，device复位</t>
  </si>
  <si>
    <t>DAVP: 温度超过105℃阈值</t>
  </si>
  <si>
    <t>TemperatureOverSdLimit</t>
  </si>
  <si>
    <t>核心模块温度超过105℃引起高温告警</t>
  </si>
  <si>
    <t>触发断电保护，DAVP卡无法正常使用</t>
  </si>
  <si>
    <t>DAVP: 设备节点核心单元出现异常</t>
  </si>
  <si>
    <t>DeviceCoreAbnormal</t>
  </si>
  <si>
    <t>当前故障很可能需要客户对使用的Die设备节点进行重启</t>
  </si>
  <si>
    <t>在收集必要信息后，重启Die以尝试恢复</t>
  </si>
  <si>
    <t>重启Die可能中断客户业务</t>
  </si>
  <si>
    <t>1. 建议尝试虚拟机重启虚拟机恢复业务。
2. 如果业务仍然无法恢复，请提交工单。</t>
  </si>
  <si>
    <t>确认业务是否恢复。</t>
  </si>
  <si>
    <t>因系统故障触发重部署</t>
  </si>
  <si>
    <t>startAutoRecovery</t>
  </si>
  <si>
    <t>弹性云服务器所在的主机出现故障时，系统会自动将弹性云服务器迁移至正常的物理机，迁移过程中系统会自动重启云服务器。</t>
  </si>
  <si>
    <t>等待虚拟机迁移成功，状态恢复正常。</t>
  </si>
  <si>
    <t>实例重部署开始。</t>
  </si>
  <si>
    <t>因系统故障重部署已完成</t>
  </si>
  <si>
    <t>endAutoRecovery</t>
  </si>
  <si>
    <t>当自动迁移完成后，弹性云服务器已恢复正常。</t>
  </si>
  <si>
    <t>实例重部署结束。</t>
  </si>
  <si>
    <t>实例重部署超时</t>
  </si>
  <si>
    <t>faultAutoRecovery</t>
  </si>
  <si>
    <t>迁移弹性云服务器至正常的物理机操作超时。</t>
  </si>
  <si>
    <t>确认应用集群业务是否受损。</t>
  </si>
  <si>
    <t>实例重部署失败。</t>
  </si>
  <si>
    <t>FPGA链路故障</t>
  </si>
  <si>
    <t>FPGALinkFault</t>
  </si>
  <si>
    <t>弹性云服务器所在的主机上FPGA卡故障。包括：
FPGA卡故障。
FPGA卡故障恢复中。</t>
  </si>
  <si>
    <t>业务应用做成高可用。
FPGA卡故障恢复后，确认业务是否自动恢复。</t>
  </si>
  <si>
    <t>系统故障导致虚拟机故障</t>
  </si>
  <si>
    <t>VMFaultsByHostProcessExceptions</t>
  </si>
  <si>
    <t>弹性云服务器所在的主机出现故障导致云服务器故障，系统会自动拉起弹性云服务器。</t>
  </si>
  <si>
    <t>请检查云服务器和业务应用是否恢复正常。</t>
  </si>
  <si>
    <t>实例故障。</t>
  </si>
  <si>
    <t>宿主机存在宕机风险</t>
  </si>
  <si>
    <t>hostMayCrash</t>
  </si>
  <si>
    <t>弹性云服务器所在的宿主机存在宕机风险，且由于一些原因，无法通过热迁移手段规避该风险。</t>
  </si>
  <si>
    <t>实例有重启风险。</t>
  </si>
  <si>
    <t>MySQL实例连接数满</t>
  </si>
  <si>
    <t>mysqlConnectionsFull</t>
  </si>
  <si>
    <t>由于实例业务量冲高，导致连接数满，无法建立新连接。</t>
  </si>
  <si>
    <t>调整连接数到合理值。
通过限流等方式降低负载。
变更到更高规格，扩大连接数上限。</t>
  </si>
  <si>
    <t>实例无法建立新连接。</t>
  </si>
  <si>
    <t>MySQL实例连接数满已恢复</t>
  </si>
  <si>
    <t>mysqlConnectionsFullRecovered</t>
  </si>
  <si>
    <t>实例连接数已恢复正常</t>
  </si>
  <si>
    <t>实例连接数已恢复正常，请确认业务是否正常运行。</t>
  </si>
  <si>
    <t>实例连接数已恢复正常。</t>
  </si>
  <si>
    <t>MySQL负载高导致新建连接异常</t>
  </si>
  <si>
    <t>highLoadInstanceConnectionsAbnormal</t>
  </si>
  <si>
    <t>由于CPU、内存、磁盘、网络带宽等资源不足，导致无法建立新连接或者建立的新连接异常</t>
  </si>
  <si>
    <t>增加系统资源，例如增加CPU、内存、磁盘等。
调整MySQL配置，例如增加连接池大小、调整缓存大小等。
根据实际运行状态和业务需求，选择异常进程执行kill会话，结束会话，使数据库恢复正常。</t>
  </si>
  <si>
    <t>实例新建连接异常。</t>
  </si>
  <si>
    <t>MySQL负载高导致新建连接异常已恢复</t>
  </si>
  <si>
    <t>highLoadInstanceConnectionsAbnormalRevocered</t>
  </si>
  <si>
    <t>负载高导致实例新建连接异常已恢复</t>
  </si>
  <si>
    <t>负载高导致实例新建连接异常已恢复，请确认业务是否正常运行。</t>
  </si>
  <si>
    <t>负载高导致实例新建连接异常已恢复。</t>
  </si>
  <si>
    <t>SQL Server发布订阅链路报错</t>
  </si>
  <si>
    <t>mssqlReplicationError</t>
  </si>
  <si>
    <t>SQL Server发布订阅链路报错。</t>
  </si>
  <si>
    <t>根据报错信息自行排查。</t>
  </si>
  <si>
    <t>影响SQL Server发布端到订阅端的数据同步。</t>
  </si>
  <si>
    <t>重置数据库管理员密码</t>
  </si>
  <si>
    <t>resetPassword</t>
  </si>
  <si>
    <t>修改数据库端口号</t>
  </si>
  <si>
    <t>changeInstancePort</t>
  </si>
  <si>
    <t>主备切换异常是由于网络、物理机有某种故障导致备机没有接管主机的业务，短时间内会恢复到原主机继续提供服务。</t>
  </si>
  <si>
    <t>检查应用和数据库之间的连接是否重新建立了连接。</t>
  </si>
  <si>
    <t>出现”复制状态异常“事件通常有两种情况：
1、主备之间复制时延太大（一般在写入大量数据或执行大事务的时候出现），在业务高峰期容易出现阻塞。
2、主备间的网络中断，导致主备复制异常。</t>
  </si>
  <si>
    <t>但不会导致原来单实例的读写中断，客户的应用是无感知的。</t>
  </si>
  <si>
    <t>即复制时延已回到正常范围内，或者主备之间的网络通信恢复。</t>
  </si>
  <si>
    <t>由于灾难或者物理机故障导致单机或者主实例故障时会上报本事件，属于关键告警事件。</t>
  </si>
  <si>
    <t>检查是否有设置自动备份策略，并且提交工单。</t>
  </si>
  <si>
    <t>针对灾难性的故障，RDS有高可用工具会自动进行备机重建，重建完成之后即会上报本事件。</t>
  </si>
  <si>
    <t>仅故障自动主备切换支持事件监控，手动主备切换不支持。</t>
  </si>
  <si>
    <t>一般是内存不足、负载过高导致数据库进程停止</t>
  </si>
  <si>
    <t>通过云监控的数据，查看是否有内存飙升、cpu长期过高、磁盘满使用率不足等的情况，可以选择提升CPU内存规格或者优化业务逻辑</t>
  </si>
  <si>
    <t>进程挂掉的时候，业务中断。RDS服务会自动拉起进程，尝试恢复业务。</t>
  </si>
  <si>
    <t>一般是由于数据空间占用过大导致。</t>
  </si>
  <si>
    <t>对实例进行扩容操作。</t>
  </si>
  <si>
    <t>实例由于磁盘空间满将会变成只读实例，数据库不可进行写入操作。</t>
  </si>
  <si>
    <t>实例磁盘状态恢复正常。</t>
  </si>
  <si>
    <t>实例解除只读状态，恢复写操作。</t>
  </si>
  <si>
    <t>NPU：L1交换机端口局部功能失效</t>
  </si>
  <si>
    <t>NpuL1SwitchPortPartialFunctionFailure</t>
  </si>
  <si>
    <t>NPU：RoCE IP地址不匹配</t>
  </si>
  <si>
    <t>NpuRoceIPAddressMismatch</t>
  </si>
  <si>
    <t>NPU：L1交换机故障</t>
  </si>
  <si>
    <t>NpuL1SwitchFault</t>
  </si>
  <si>
    <t>modelarts</t>
  </si>
  <si>
    <t>NPU的L1 1520交换机端口局部功能失效</t>
  </si>
  <si>
    <t>建议提工单，联系运维人员协助处理</t>
  </si>
  <si>
    <t>RoCE网卡的实际IP地址与配置文件hccn.conf中的IP地址不一致</t>
  </si>
  <si>
    <t>NPU的L1 1520交换机发生故障</t>
  </si>
  <si>
    <t>云服务</t>
  </si>
  <si>
    <t>采集周期/检查频率(分钟)</t>
  </si>
  <si>
    <t>数据类型</t>
  </si>
  <si>
    <t>规则名称</t>
  </si>
  <si>
    <t>PromQL语句</t>
  </si>
  <si>
    <t>持续时间</t>
  </si>
  <si>
    <t>检查频率</t>
  </si>
  <si>
    <t>通知频率</t>
  </si>
  <si>
    <t>通知内容</t>
  </si>
  <si>
    <t>CCE</t>
  </si>
  <si>
    <t>云服务指标 CCE 集群</t>
  </si>
  <si>
    <t>CPU分配率</t>
  </si>
  <si>
    <t xml:space="preserve"> allocatableCpuUsage</t>
  </si>
  <si>
    <t>该指标用于统计CCE集群的CPU总分配率。</t>
  </si>
  <si>
    <t>1分钟</t>
  </si>
  <si>
    <t>百分比（Percent）</t>
  </si>
  <si>
    <t>集群CPU分配率超过80%</t>
  </si>
  <si>
    <t>不涉及</t>
  </si>
  <si>
    <t>每1小时</t>
  </si>
  <si>
    <t>内存分配率</t>
  </si>
  <si>
    <t xml:space="preserve"> allocatableMemoryUsage</t>
  </si>
  <si>
    <t>该指标用于统计CCE集群的内存总分配率。</t>
  </si>
  <si>
    <t>集群内存分配率超过80%</t>
  </si>
  <si>
    <t>集群过载等级</t>
  </si>
  <si>
    <t xml:space="preserve"> vein_overload_level</t>
  </si>
  <si>
    <t>该指标用于统计CCE集群的过载等级。</t>
  </si>
  <si>
    <t>集群重度过载</t>
  </si>
  <si>
    <t>当指标值小于等于1时，表示集群重度过载，推荐设置紧急告警。
当指标值小于等于2时，表示集群中度过载，推荐设置重要告警。
当指标值小于等于3时，表示集群轻度过载，推荐设置次要告警。
https://support.huaweicloud.com/usermanual-cce/cce_10_0602.html</t>
  </si>
  <si>
    <t>云服务指标 CCE Master节点</t>
  </si>
  <si>
    <r>
      <rPr>
        <sz val="9"/>
        <color rgb="FF000000"/>
        <rFont val="Arial"/>
        <family val="2"/>
      </rPr>
      <t xml:space="preserve">	</t>
    </r>
    <r>
      <rPr>
        <sz val="9"/>
        <color rgb="FF000000"/>
        <rFont val="微软雅黑"/>
        <charset val="134"/>
      </rPr>
      <t>aom_node_cpu_usage</t>
    </r>
  </si>
  <si>
    <t>该指标用于统计CCE Master主机的CPU使用率。</t>
  </si>
  <si>
    <t>集群Master的CPU利用率超过85%</t>
  </si>
  <si>
    <t>物理内存使用率</t>
  </si>
  <si>
    <t xml:space="preserve"> aom_node_memory_usage</t>
  </si>
  <si>
    <t>该指标用于统计CCE Master主机的已使用内存占申请物理内存总量的百分比。</t>
  </si>
  <si>
    <t>集群Master的内存利用率超过85%</t>
  </si>
  <si>
    <t>应用指标  Node节点</t>
  </si>
  <si>
    <t xml:space="preserve"> node_cpu_seconds_total</t>
  </si>
  <si>
    <t>该指标用于统计CCE Node的CPU使用率。</t>
  </si>
  <si>
    <t>节点CPU使用率超过百分之八十</t>
  </si>
  <si>
    <t>PromQL：100 - (avg by(node, cluster_name, cluster) (rate(node_cpu_seconds_total{mode="idle"}[2m])) * 100) &gt; 80</t>
  </si>
  <si>
    <t>node_memory_MemAvailable_bytes/node_memory_MemTotal_bytes</t>
  </si>
  <si>
    <t>该指标用于统计CCE Node已使用内存占申请物理内存总量的百分比。</t>
  </si>
  <si>
    <t>字节（Bytes）</t>
  </si>
  <si>
    <t>节点内存利用率超过百分之九十</t>
  </si>
  <si>
    <t>PromQL：node_memory_MemAvailable_bytes / node_memory_MemTotal_bytes * 100 &lt; 10</t>
  </si>
  <si>
    <t>node_filesystem_avail_bytes/node_filesystem_size_bytes</t>
  </si>
  <si>
    <t>已使用的磁盘空间占总的磁盘空间容量百分比。</t>
  </si>
  <si>
    <t>节点磁盘利用率超过百分之九十</t>
  </si>
  <si>
    <t>PromQL：avg((node_filesystem_avail_bytes * 100) / node_filesystem_size_bytes) by (device, node, cluster_name, cluster) &lt; 10</t>
  </si>
  <si>
    <t>持久卷使用率</t>
  </si>
  <si>
    <t>kubelet_volume_stats_available_bytes/kubelet_volume_stats_capacity_bytes</t>
  </si>
  <si>
    <t>检查节点上持久卷使用率是否过高</t>
  </si>
  <si>
    <t>Kube持久卷使用率高</t>
  </si>
  <si>
    <t>PromQL：(kubelet_volume_stats_available_bytes{job="kubelet"} / kubelet_volume_stats_capacity_bytes{job="kubelet"}) &lt; 0.03 and kubelet_volume_stats_used_bytes{job="kubelet"} &gt; 0</t>
  </si>
  <si>
    <t>文件描述符利用率</t>
  </si>
  <si>
    <t xml:space="preserve"> node_filefd_maximum/ node_filefd_allocated</t>
  </si>
  <si>
    <t>该指标用于统计Node节点文件描述符利用率。</t>
  </si>
  <si>
    <t>文件描述符利用率超过百分之九十</t>
  </si>
  <si>
    <t>PromQL: (sum by (cluster, cluster_name, node)(node_filefd_allocated{job="node-exporter"}) * 100) /  (sum by (cluster, cluster_name, node)(node_filefd_maximum{job="node-exporter"})) &gt; 90</t>
  </si>
  <si>
    <t>连接跟踪表条目利用率</t>
  </si>
  <si>
    <t>node_nf_conntrack_entries/node_nf_conntrack_entries_limit</t>
  </si>
  <si>
    <t>该指标用于统计Node节点连接跟踪条目数利用率。</t>
  </si>
  <si>
    <t>连接跟踪表条目利用率超过百分之九十</t>
  </si>
  <si>
    <t xml:space="preserve">PromQL：100 * node_nf_conntrack_entries{job="node-exporter"} / node_nf_conntrack_entries_limit{job="node-exporter"}
</t>
  </si>
  <si>
    <t>应用指标   工作负载</t>
  </si>
  <si>
    <t>POD状态</t>
  </si>
  <si>
    <t>kube_pod_status_phase</t>
  </si>
  <si>
    <t>检查Pod状态是否异常</t>
  </si>
  <si>
    <t>Pod状态异常</t>
  </si>
  <si>
    <t xml:space="preserve">PromQL：sum(min_over_time(kube_pod_status_phase{phase=~"Pending|Unknown|Failed"}[10m]) and count_over_time(kube_pod_status_phase{phase=~"Pending|Unknown|Failed"}[10m]) &gt; 18 )by (namespace,pod, phase, cluster_name, cluster) &gt; 0
</t>
  </si>
  <si>
    <t>容器状态</t>
  </si>
  <si>
    <t>kube_pod_container_status_waiting_reason</t>
  </si>
  <si>
    <t>检查容器状态是否异常</t>
  </si>
  <si>
    <t>容器状态异常</t>
  </si>
  <si>
    <t xml:space="preserve">PromQL：sum by (namespace, pod, container, cluster_name, cluster) (kube_pod_container_status_waiting_reason) &gt; 0
</t>
  </si>
  <si>
    <t>POD重启次数</t>
  </si>
  <si>
    <t>kube_pod_container_status_restarts_total</t>
  </si>
  <si>
    <t>检查Pod是否频繁重启</t>
  </si>
  <si>
    <t>Pod频繁重启</t>
  </si>
  <si>
    <t xml:space="preserve">PromQL：increase(kube_pod_container_status_restarts_total[5m]) &gt; 3
</t>
  </si>
  <si>
    <t>container_cpu_usage_seconds_total/kube_pod_container_resource_limits</t>
  </si>
  <si>
    <t>该指标用于统计CCE POD的CPU使用率。</t>
  </si>
  <si>
    <t xml:space="preserve">容器CPU使用率大于百分之八十 </t>
  </si>
  <si>
    <t xml:space="preserve">PromQL：100 * (sum(rate(container_cpu_usage_seconds_total{image!="", container!="POD"}[1m])) by (cluster_name,pod,node,namespace,container, cluster) / sum(kube_pod_container_resource_limits{resource="cpu"}) by (cluster_name,pod,node,namespace,container, cluster)) &gt; 80
</t>
  </si>
  <si>
    <t>container_memory_working_set_bytes/container_spec_memory_limit_bytes</t>
  </si>
  <si>
    <t>该指标用于统计CCE POD的内存使用率。</t>
  </si>
  <si>
    <t xml:space="preserve">容器内存使用率大于百分之八十 </t>
  </si>
  <si>
    <t xml:space="preserve">PromQL：(sum(container_memory_working_set_bytes{image!="", container!="POD"}) BY (cluster_name, node,container, pod , namespace, cluster) / sum(container_spec_memory_limit_bytes &gt; 0) BY (cluster_name, node, container, pod , namespace, cluster) * 100) &gt; 80
</t>
  </si>
  <si>
    <t>应用指标   核心插件</t>
  </si>
  <si>
    <t>Coredns插件CPU利用率</t>
  </si>
  <si>
    <t>该指标用于统计CCE Coredns POD的CPU使用率。</t>
  </si>
  <si>
    <t>集群CorednsCPU使用率大于百分之六十</t>
  </si>
  <si>
    <t>PromQL：100 * (sum(rate(container_cpu_usage_seconds_total{image!="", container!="POD", namespace="kube-system", container="coredns"}[1m])) by (cluster_name,pod,node,namespace,container, cluster) / sum(kube_pod_container_resource_limits{resource="cpu", namespace="kube-system", container="coredns"}) by (cluster_name,pod,node,namespace,container, cluster)) &gt; 60</t>
  </si>
  <si>
    <t>Coredns插件内存利用率</t>
  </si>
  <si>
    <t>该指标用于统计CCE Coredns POD的内存使用率。</t>
  </si>
  <si>
    <t>集群Coredns内存使用率大于百分之八十</t>
  </si>
  <si>
    <t>PromQL：(sum(container_memory_working_set_bytes{image!="", container!="POD", namespace="kube-system", container="coredns"}) BY (cluster_name, node,container, pod , namespace, cluster) / sum(container_spec_memory_limit_bytes{namespace="kube-system", container="coredns"} &gt; 0) BY (cluster_name, node, container, pod , namespace, cluster) * 100) &gt; 80</t>
  </si>
  <si>
    <t>Coredns P95响应时延</t>
  </si>
  <si>
    <t>coredns_dns_request_duration_seconds_bucket</t>
  </si>
  <si>
    <t>该指标用于统计CCE Coredns 请求延迟的P90。</t>
  </si>
  <si>
    <t>集群Coredns P95时延超过1s</t>
  </si>
  <si>
    <t>PromQL：histogram_quantile(0.95, sum(rate(coredns_dns_request_duration_seconds_bucket{job="coredns"}[5m])) by (le, cluster, cluster_name, pod, instance)) &gt; 1</t>
  </si>
  <si>
    <t>Nginx-ingress插件CPU利用率</t>
  </si>
  <si>
    <t>该指标用于统计CCE nginx-ingress POD的CPU使用率。</t>
  </si>
  <si>
    <t xml:space="preserve">集群Nginx-ingress CPU使用率大于百分之七十 </t>
  </si>
  <si>
    <t>PromQL：100 * (sum(rate(container_cpu_usage_seconds_total{image!="", container!="POD", namespace="kube-system", container="nginx-ingress-controller"}[1m])) by (cluster_name,pod,node,namespace,container, cluster) / sum(kube_pod_container_resource_limits{resource="cpu", namespace="kube-system", container="nginx-ingress-controller"}) by (cluster_name,pod,node,namespace,container, cluster)) &gt; 70</t>
  </si>
  <si>
    <t>Nginx-ingress插件内存利用率</t>
  </si>
  <si>
    <t>该指标用于统计CCE nginx-ingress POD的内存使用率。</t>
  </si>
  <si>
    <t>集群Nginx-ingress 内存使用率大于百分之七十</t>
  </si>
  <si>
    <t>PromQL：(sum(container_memory_working_set_bytes{image!="", container!="POD", namespace="kube-system", container="nginx-ingress-controller"}) BY (cluster_name, node,container, pod , namespace, cluster) / sum(container_spec_memory_limit_bytes{namespace="kube-system", container="nginx-ingress-controller"} &gt; 0) BY (cluster_name, node, container, pod , namespace, cluster) * 100) &gt; 70</t>
  </si>
  <si>
    <t>NO.</t>
  </si>
  <si>
    <t>统计周期</t>
  </si>
  <si>
    <t>值类型</t>
  </si>
  <si>
    <t>连续周期</t>
  </si>
  <si>
    <t>固定间隔时间</t>
  </si>
  <si>
    <t>告警恢复-连续周期</t>
  </si>
  <si>
    <t>无数据处理-连续周期</t>
  </si>
  <si>
    <t>无数据处理-处理操作</t>
  </si>
  <si>
    <t>IoTDA</t>
  </si>
  <si>
    <t>IoTDA.DEVICE_STATUS</t>
  </si>
  <si>
    <t>instance,instanceIp</t>
  </si>
  <si>
    <r>
      <rPr>
        <sz val="8"/>
        <color rgb="FF000000"/>
        <rFont val="微软雅黑"/>
        <charset val="134"/>
      </rPr>
      <t xml:space="preserve"> </t>
    </r>
    <r>
      <rPr>
        <sz val="8"/>
        <color rgb="FF000000"/>
        <rFont val="微软雅黑"/>
        <charset val="134"/>
      </rPr>
      <t>Count</t>
    </r>
  </si>
  <si>
    <t xml:space="preserve"> NB数据上报失败次数</t>
  </si>
  <si>
    <t>iotda_south_dataReport_failedCount</t>
  </si>
  <si>
    <t>最大值</t>
  </si>
  <si>
    <t>固定间隔</t>
  </si>
  <si>
    <t>保持上一状态</t>
  </si>
  <si>
    <t xml:space="preserve"> MQTT事件上报失败次数</t>
  </si>
  <si>
    <t>iotda_south_eventUp_failedCount</t>
  </si>
  <si>
    <t xml:space="preserve"> MQTT属性上报失败次数</t>
  </si>
  <si>
    <t>iotda_south_propertiesReport_failedCount</t>
  </si>
  <si>
    <t>iotda_south_messageUp_failedCount</t>
  </si>
  <si>
    <t xml:space="preserve"> AMQP流转失败次数</t>
  </si>
  <si>
    <t>iotda_amqp_forwarding_failedCount</t>
  </si>
  <si>
    <t xml:space="preserve"> functionGraph流转失败次数</t>
  </si>
  <si>
    <t>iotda_functionGraph_forwarding_failedCount</t>
  </si>
  <si>
    <t xml:space="preserve"> MRS Kafka流转失败次数</t>
  </si>
  <si>
    <t>iotda_mrsKafka_forwarding_failedCount</t>
  </si>
  <si>
    <t xml:space="preserve"> Mqtt流转失败次数</t>
  </si>
  <si>
    <t>iotda_mqtt_forwarding_failedCount</t>
  </si>
  <si>
    <t xml:space="preserve"> MySql流转失败次数</t>
  </si>
  <si>
    <t>iotda_mysql_forwarding_failedCount</t>
  </si>
  <si>
    <t xml:space="preserve"> influxDB流转失败次数</t>
  </si>
  <si>
    <t>iotda_influxDB_forwarding_failedCount</t>
  </si>
  <si>
    <t xml:space="preserve"> HTTP推送流转失败次数</t>
  </si>
  <si>
    <t>iotda_http_forwarding_failedCount</t>
  </si>
  <si>
    <t xml:space="preserve"> OBS流转失败次数</t>
  </si>
  <si>
    <t>iotda_obs_forwarding_failedCount</t>
  </si>
  <si>
    <t xml:space="preserve"> DMS Kafka流转失败次数</t>
  </si>
  <si>
    <t>iotda_dmsKafka_forwarding_failedCount</t>
  </si>
  <si>
    <t xml:space="preserve"> DIS流转失败次数</t>
  </si>
  <si>
    <t>iotda_dis_forwarding_failedCount</t>
  </si>
  <si>
    <t xml:space="preserve"> ROMA流转失败次数</t>
  </si>
  <si>
    <t>iotda_roma_forwarding_failedCount</t>
  </si>
  <si>
    <t xml:space="preserve"> LTS流转失败次数</t>
  </si>
  <si>
    <t>iotda_lts_forwarding_failedCount</t>
  </si>
  <si>
    <t>基础指标</t>
  </si>
  <si>
    <t xml:space="preserve"> CPU使用率</t>
  </si>
  <si>
    <r>
      <rPr>
        <sz val="8"/>
        <color rgb="FF000000"/>
        <rFont val="微软雅黑"/>
        <charset val="134"/>
      </rPr>
      <t xml:space="preserve"> </t>
    </r>
    <r>
      <rPr>
        <sz val="8"/>
        <color rgb="FF000000"/>
        <rFont val="微软雅黑"/>
        <charset val="134"/>
      </rPr>
      <t>Percent</t>
    </r>
  </si>
  <si>
    <t xml:space="preserve"> 物理内存使用率</t>
  </si>
  <si>
    <r>
      <rPr>
        <sz val="8"/>
        <color rgb="FF000000"/>
        <rFont val="微软雅黑"/>
        <charset val="134"/>
      </rPr>
      <t xml:space="preserve"> </t>
    </r>
    <r>
      <rPr>
        <sz val="8"/>
        <color rgb="FF000000"/>
        <rFont val="微软雅黑"/>
        <charset val="134"/>
      </rPr>
      <t>Packets/Second</t>
    </r>
  </si>
  <si>
    <t xml:space="preserve"> 下行错包率</t>
  </si>
  <si>
    <t xml:space="preserve"> 上行错包率</t>
  </si>
  <si>
    <t>PAAS.CONTAINER</t>
  </si>
  <si>
    <t>工作负载</t>
  </si>
  <si>
    <t>aom_container_cpu_usage</t>
  </si>
  <si>
    <t>aom_container_memory_usage</t>
  </si>
  <si>
    <t>aom_container_network_receive_error_packets</t>
  </si>
  <si>
    <t>aom_container_network_transmit_error_packets</t>
  </si>
  <si>
    <t>POD</t>
  </si>
  <si>
    <t>容器</t>
  </si>
  <si>
    <t>CCI</t>
  </si>
  <si>
    <t>nameSpace,appName,clusterId</t>
  </si>
  <si>
    <t>≥</t>
  </si>
  <si>
    <t>1min</t>
  </si>
  <si>
    <t>nameSpace,appName,podID,podName</t>
  </si>
  <si>
    <t>nameSpace,appName,podName,containerID,containerName</t>
  </si>
  <si>
    <t>pool_id,pool_name</t>
  </si>
  <si>
    <t>ma_container_cpu_util</t>
  </si>
  <si>
    <t>ma_container_memory_util</t>
  </si>
  <si>
    <t>cache空间的使用率</t>
  </si>
  <si>
    <t>ma_node_cache_space_used_percent</t>
  </si>
  <si>
    <t>容器空间的使用率</t>
  </si>
  <si>
    <t>ma_node_container_space_used_percent</t>
  </si>
  <si>
    <t>ma_node_cpu_util</t>
  </si>
  <si>
    <t>ma_node_memory_util</t>
  </si>
  <si>
    <t>ma_node_npu_optical_temperature</t>
  </si>
  <si>
    <t>NPU Macro接收误码率</t>
  </si>
  <si>
    <t>ma_node_npu_macro_crc_error_rate</t>
  </si>
  <si>
    <t>30秒</t>
  </si>
  <si>
    <t>光模块温度</t>
  </si>
  <si>
    <t>告警误报可能性</t>
  </si>
  <si>
    <t>NPU</t>
  </si>
  <si>
    <t>npu dcmi device异常</t>
  </si>
  <si>
    <t>NT_NPU_DEVICE</t>
  </si>
  <si>
    <t>NPU设备异常，昇腾dcmi接口中返回设备存在重要或紧急告警</t>
  </si>
  <si>
    <t>sum(nt_npg{type="NT_NPU_DEVICE"} !=2) by (cluster_name, node_ip,type)</t>
  </si>
  <si>
    <t>npu dcmi net异常</t>
  </si>
  <si>
    <t>NT_NPU_NET</t>
  </si>
  <si>
    <t>NPU网络链接异常</t>
  </si>
  <si>
    <t>sum(nt_npg{type="NT_NPU_NET"} !=2) by (cluster_name, node_ip,type)</t>
  </si>
  <si>
    <t>NPU卡丢失</t>
  </si>
  <si>
    <t>NT_NPU_CARD_LOSE</t>
  </si>
  <si>
    <t>节点规格的GPU卡数和k8sNode中可调度卡数不一致</t>
  </si>
  <si>
    <t>sum(nt_npg{type="NT_NPU_CARD_LOSE"} !=2) by (cluster_name, node_ip,type)</t>
  </si>
  <si>
    <t>NPU其他错误</t>
  </si>
  <si>
    <t>NT_NPU_OTHER</t>
  </si>
  <si>
    <t>检测到的其他NPU错误，通常为不可自纠正的异常，请联系技术人员支持</t>
  </si>
  <si>
    <t>sum(nt_npg{type="NT_NPU_OTHER"} !=2) by (cluster_name, node_ip,type)</t>
  </si>
  <si>
    <t>NPU ecc次数达到维修阈值</t>
  </si>
  <si>
    <t>NT_NPU_ECC_COUNT</t>
  </si>
  <si>
    <t>NPU的HBM总的多Bit Ecc隔离地址记录达到64个</t>
  </si>
  <si>
    <t>sum(nt_npg{type="NT_NPU_ECC_COUNT"} !=2) by (cluster_name, node_ip,type)</t>
  </si>
  <si>
    <t>Kubelet硬盘只读</t>
  </si>
  <si>
    <t>NT_KUBE_DISK_READONLY_CHECK</t>
  </si>
  <si>
    <t>以下目录只读：
/mnt/paas/kubernetes/kubelet</t>
  </si>
  <si>
    <t>sum(nt_npg{type="NT_KUBE_DISK_READONLY_CHECK"} !=2) by (cluster_name, node_ip,type)</t>
  </si>
  <si>
    <t>GPU</t>
  </si>
  <si>
    <t>GPU ECC错误</t>
  </si>
  <si>
    <t>NT_GPU_SMI_ECC_CHECK</t>
  </si>
  <si>
    <t>sum(nt_npg{type="NT_GPU_SMI_ECC_CHECK"} !=2) by (cluster_name, node_ip,type)</t>
  </si>
  <si>
    <t>nvidia-smi返回信息中包含ERR</t>
  </si>
  <si>
    <t>NT_GPU_SMI_ERROR</t>
  </si>
  <si>
    <t>sum(nt_npg{type="NT_GPU_SMI_ERROR"} !=2) by (cluster_name, node_ip,type)</t>
  </si>
  <si>
    <t>ecc错误到达64次</t>
  </si>
  <si>
    <t>NT_GPU_SMI_ECC_COUNT</t>
  </si>
  <si>
    <t>sum(nt_npg{type="NT_GPU_SMI_ECC_COUNT"} !=2) by (cluster_name, node_ip,type)</t>
  </si>
  <si>
    <t>gpu卡丢失</t>
  </si>
  <si>
    <t>NT_GPU_CARD_LOSE</t>
  </si>
  <si>
    <t>sum(nt_npg{type="NT_GPU_CARD_LOSE"} !=2) by (cluster_name, node_ip,type)</t>
  </si>
  <si>
    <t>infoROM告警</t>
  </si>
  <si>
    <t>NT_GPU_SMI_INFOROM_ERROR</t>
  </si>
  <si>
    <t>sum(nt_npg{type="NT_GPU_SMI_INFOROM_ERROR"} !=2) by (cluster_name, node_ip,type)</t>
  </si>
  <si>
    <t>GPU其他错误</t>
  </si>
  <si>
    <t>NT_GPU_OTHER</t>
  </si>
  <si>
    <t>sum(nt_npg{type="NT_GPU_OTHER"} !=2) by (cluster_name, node_ip,type)</t>
  </si>
  <si>
    <t>event_name</t>
  </si>
  <si>
    <t>触发方式</t>
  </si>
  <si>
    <t>监控周期</t>
  </si>
  <si>
    <t>累计次数</t>
  </si>
  <si>
    <t>频率</t>
  </si>
  <si>
    <t>MountDeviceFailed</t>
  </si>
  <si>
    <t>挂载盘符失败</t>
  </si>
  <si>
    <t>挂载盘符失败##MountDeviceFailed</t>
  </si>
  <si>
    <t>立即触发</t>
  </si>
  <si>
    <t>BackOffStart</t>
  </si>
  <si>
    <t>启动重试失败</t>
  </si>
  <si>
    <t>启动重试失败##BackOffStart</t>
  </si>
  <si>
    <t>FailedScheduling</t>
  </si>
  <si>
    <t>调度失败</t>
  </si>
  <si>
    <t>调度失败##FailedScheduling</t>
  </si>
  <si>
    <t>Unhealthy</t>
  </si>
  <si>
    <t>状态异常</t>
  </si>
  <si>
    <t>状态异常##Unhealthy</t>
  </si>
  <si>
    <t>BackOffPullImage</t>
  </si>
  <si>
    <t>拉取镜像重试失败</t>
  </si>
  <si>
    <t>拉取镜像重试失败##BackOffPullImage</t>
  </si>
  <si>
    <t>FailedStart</t>
  </si>
  <si>
    <t>启动失败</t>
  </si>
  <si>
    <t>启动失败##FailedStart</t>
  </si>
  <si>
    <t>FailedPullImage</t>
  </si>
  <si>
    <t>拉取镜像失败</t>
  </si>
  <si>
    <t>拉取镜像失败##FailedPullImage</t>
  </si>
  <si>
    <t>Number of API Calls from a Tenant Reaching the Flow Control Threshold</t>
  </si>
  <si>
    <t>租户调用接口达到流控阈值</t>
  </si>
  <si>
    <t>租户调用接口达到流控阈值##Number of API Calls from a Tenant Reaching the Flow Control Threshold</t>
  </si>
  <si>
    <t>/</t>
  </si>
  <si>
    <t>Linkage Rule Triggering Concurrency Threshold</t>
  </si>
  <si>
    <t>联动规则触发并发限制阈值</t>
  </si>
  <si>
    <t>联动规则触发并发限制阈值##Linkage Rule Triggering Concurrency Threshold</t>
  </si>
  <si>
    <t>Number of User Devices Reaching the Threshold</t>
  </si>
  <si>
    <t>用户设备数达到阈值</t>
  </si>
  <si>
    <t>用户设备数达到阈值##Number of User Devices Reaching the Threshold</t>
  </si>
  <si>
    <t>Number of Online User Devices Reaching the Threshold</t>
  </si>
  <si>
    <t>用户在线设备数达到阈值</t>
  </si>
  <si>
    <t>用户在线设备数达到阈值##Number of Online User Devices Reaching the Threshold</t>
  </si>
  <si>
    <t>Number of Child Devices Under a Gateway Reaching the Threshold</t>
  </si>
  <si>
    <t>网关下子设备数达到阈值</t>
  </si>
  <si>
    <t>网关下子设备数达到阈值##Number of Child Devices Under a Gateway Reaching the Threshold</t>
  </si>
  <si>
    <t>Device Upstream Messages Exceeding the Tenant Flow Control</t>
  </si>
  <si>
    <t>设备上行消息超租户流控阈值</t>
  </si>
  <si>
    <t>设备上行消息超租户流控阈值##Device Upstream Messages Exceeding the Tenant Flow Control</t>
  </si>
  <si>
    <t>MQTT Message Flow Control for a Single Device</t>
  </si>
  <si>
    <t>单设备MQTT消息流控</t>
  </si>
  <si>
    <t>单设备MQTT消息流控##MQTT Message Flow Control for a Single Device</t>
  </si>
  <si>
    <t>Data Forwarding Target Added to the Blocklist</t>
  </si>
  <si>
    <t>数据转发目标被列入黑名单</t>
  </si>
  <si>
    <t>数据转发目标被列入黑名单##Data Forwarding Target Added to the Blocklist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</si>
</sst>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x14ac:knownFonts="1">
    <font>
      <sz val="11"/>
      <name val="宋体"/>
      <family val="3"/>
      <charset val="134"/>
    </font>
    <font>
      <sz val="9"/>
      <name val="宋体"/>
      <family val="3"/>
      <charset val="134"/>
    </font>
    <font>
      <b/>
      <sz val="8"/>
      <color theme="1"/>
      <name val="微软雅黑"/>
      <charset val="134"/>
    </font>
    <font>
      <b/>
      <sz val="8"/>
      <color rgb="FF000000"/>
      <name val="微软雅黑"/>
      <charset val="134"/>
    </font>
    <font>
      <b/>
      <sz val="8"/>
      <color rgb="FFFF0000"/>
      <name val="微软雅黑"/>
      <charset val="134"/>
    </font>
    <font>
      <b/>
      <sz val="8"/>
      <color rgb="FFFFFFFF"/>
      <name val="微软雅黑"/>
      <charset val="134"/>
    </font>
    <font>
      <sz val="8"/>
      <color theme="1"/>
      <name val="微软雅黑"/>
      <charset val="134"/>
    </font>
    <font>
      <sz val="8"/>
      <color rgb="FF000000"/>
      <name val="微软雅黑"/>
      <charset val="134"/>
    </font>
    <font>
      <sz val="9"/>
      <color rgb="FF191919"/>
      <name val="Helvetica"/>
      <family val="2"/>
    </font>
    <font>
      <b/>
      <sz val="9"/>
      <name val="宋体"/>
      <charset val="134"/>
    </font>
    <font>
      <sz val="9"/>
      <name val="宋体"/>
      <charset val="134"/>
    </font>
    <font>
      <sz val="11"/>
      <color theme="1"/>
      <name val="宋体"/>
      <charset val="134"/>
      <scheme val="minor"/>
    </font>
    <font>
      <b/>
      <sz val="8"/>
      <color theme="1"/>
      <name val="微软雅黑"/>
      <family val="2"/>
      <charset val="134"/>
    </font>
    <font>
      <b/>
      <sz val="8"/>
      <color rgb="FF000000"/>
      <name val="微软雅黑"/>
      <family val="2"/>
      <charset val="134"/>
    </font>
    <font>
      <b/>
      <sz val="8"/>
      <color rgb="FFFF0000"/>
      <name val="微软雅黑"/>
      <family val="2"/>
      <charset val="134"/>
    </font>
    <font>
      <b/>
      <sz val="8"/>
      <color rgb="FFFFFFFF"/>
      <name val="微软雅黑"/>
      <family val="2"/>
      <charset val="134"/>
    </font>
    <font>
      <sz val="8"/>
      <color theme="1"/>
      <name val="微软雅黑"/>
      <family val="2"/>
      <charset val="134"/>
    </font>
    <font>
      <sz val="8"/>
      <color rgb="FF000000"/>
      <name val="微软雅黑"/>
      <family val="2"/>
      <charset val="134"/>
    </font>
    <font>
      <sz val="11"/>
      <color rgb="FF000000"/>
      <name val="等线"/>
      <family val="3"/>
      <charset val="134"/>
    </font>
    <font>
      <b/>
      <sz val="9"/>
      <name val="宋体"/>
      <family val="3"/>
      <charset val="134"/>
    </font>
    <font>
      <sz val="9"/>
      <color rgb="FF000000"/>
      <name val="微软雅黑"/>
      <charset val="134"/>
    </font>
    <font>
      <sz val="12"/>
      <name val="宋体"/>
      <charset val="134"/>
    </font>
    <font>
      <i/>
      <sz val="8"/>
      <color rgb="FF000000"/>
      <name val="微软雅黑"/>
      <charset val="134"/>
    </font>
    <font>
      <sz val="11"/>
      <color rgb="FF000000"/>
      <name val="宋体"/>
      <charset val="134"/>
      <scheme val="minor"/>
    </font>
    <font>
      <sz val="9"/>
      <color rgb="FF000000"/>
      <name val="Arial"/>
      <family val="2"/>
    </font>
    <font>
      <b/>
      <sz val="9"/>
      <color rgb="FFFF0000"/>
      <name val="微软雅黑"/>
      <charset val="134"/>
    </font>
    <font>
      <sz val="8"/>
      <color rgb="FF1D1D1A"/>
      <name val="微软雅黑"/>
      <charset val="134"/>
    </font>
    <font>
      <sz val="8"/>
      <name val="微软雅黑"/>
      <charset val="134"/>
    </font>
  </fonts>
  <fills count="11">
    <fill>
      <patternFill patternType="none"/>
    </fill>
    <fill>
      <patternFill patternType="gray125"/>
    </fill>
    <fill>
      <patternFill patternType="solid">
        <fgColor rgb="FFF8CBAD"/>
        <bgColor indexed="64"/>
      </patternFill>
    </fill>
    <fill>
      <patternFill patternType="solid">
        <fgColor rgb="FFFFD966"/>
        <bgColor indexed="64"/>
      </patternFill>
    </fill>
    <fill>
      <patternFill patternType="solid">
        <fgColor rgb="FF8FAADC"/>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rgb="FFFFFF00"/>
        <bgColor indexed="64"/>
      </patternFill>
    </fill>
    <fill>
      <patternFill patternType="solid">
        <fgColor rgb="FFBDD7EE"/>
        <bgColor indexed="64"/>
      </patternFill>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1" fillId="0" borderId="0">
      <alignment vertical="center"/>
    </xf>
    <xf numFmtId="0" fontId="11" fillId="0" borderId="0">
      <alignment vertical="center"/>
    </xf>
    <xf numFmtId="0" fontId="21" fillId="0" borderId="0">
      <alignment vertical="center"/>
    </xf>
  </cellStyleXfs>
  <cellXfs count="84">
    <xf numFmtId="0" fontId="0" fillId="0" borderId="0" xfId="0">
      <alignment vertical="center"/>
    </xf>
    <xf numFmtId="0" fontId="0" fillId="0" borderId="0" xfId="0" applyAlignment="1">
      <alignment horizontal="left" vertical="center"/>
    </xf>
    <xf numFmtId="0" fontId="6" fillId="0" borderId="1" xfId="0" applyFont="1" applyBorder="1" applyAlignment="1">
      <alignment horizontal="left" vertical="center" wrapText="1"/>
    </xf>
    <xf numFmtId="0" fontId="8" fillId="0" borderId="0" xfId="0" applyFont="1" applyAlignment="1"/>
    <xf numFmtId="0" fontId="7"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0" fillId="0" borderId="0" xfId="0" applyAlignment="1"/>
    <xf numFmtId="0" fontId="0" fillId="0" borderId="0" xfId="0" applyAlignment="1">
      <alignment horizontal="left"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0" borderId="1" xfId="1" applyFont="1" applyBorder="1" applyAlignment="1">
      <alignment horizontal="left" vertical="center" wrapText="1"/>
    </xf>
    <xf numFmtId="0" fontId="7" fillId="0" borderId="0" xfId="0" applyFont="1" applyAlignment="1">
      <alignment horizontal="left"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0" borderId="1" xfId="0" applyFont="1" applyBorder="1" applyAlignment="1">
      <alignment horizontal="left" vertical="center"/>
    </xf>
    <xf numFmtId="0" fontId="17" fillId="0" borderId="1" xfId="0" applyFont="1" applyBorder="1" applyAlignment="1">
      <alignment horizontal="left" vertical="center"/>
    </xf>
    <xf numFmtId="0" fontId="16" fillId="7" borderId="1" xfId="0" applyFont="1" applyFill="1" applyBorder="1" applyAlignment="1">
      <alignment horizontal="center" vertical="center"/>
    </xf>
    <xf numFmtId="0" fontId="16" fillId="7" borderId="1" xfId="0" applyFont="1" applyFill="1" applyBorder="1" applyAlignment="1">
      <alignment horizontal="left" vertical="center"/>
    </xf>
    <xf numFmtId="0" fontId="16" fillId="0" borderId="1" xfId="0" applyFont="1" applyBorder="1" applyAlignment="1">
      <alignment horizontal="left" vertical="center" wrapText="1"/>
    </xf>
    <xf numFmtId="0" fontId="17" fillId="7" borderId="1" xfId="0" applyFont="1" applyFill="1" applyBorder="1" applyAlignment="1">
      <alignment horizontal="left" vertical="center"/>
    </xf>
    <xf numFmtId="0" fontId="17" fillId="8" borderId="1" xfId="0" applyFont="1" applyFill="1" applyBorder="1" applyAlignment="1">
      <alignment horizontal="left" vertical="center"/>
    </xf>
    <xf numFmtId="0" fontId="16" fillId="0" borderId="1" xfId="0" applyFont="1" applyBorder="1" applyAlignment="1" applyProtection="1">
      <alignment horizontal="left" vertical="center" wrapText="1"/>
      <protection locked="0"/>
    </xf>
    <xf numFmtId="176" fontId="16" fillId="0" borderId="1" xfId="0" applyNumberFormat="1" applyFont="1" applyBorder="1" applyAlignment="1">
      <alignment horizontal="left" vertical="center" wrapText="1"/>
    </xf>
    <xf numFmtId="0" fontId="17" fillId="0" borderId="0" xfId="0" applyFont="1" applyAlignment="1" applyProtection="1">
      <alignment horizontal="left" vertical="center"/>
      <protection locked="0"/>
    </xf>
    <xf numFmtId="0" fontId="17" fillId="0" borderId="0" xfId="0" applyFont="1" applyAlignment="1">
      <alignment horizontal="left" vertical="center"/>
    </xf>
    <xf numFmtId="0" fontId="18" fillId="0" borderId="0" xfId="0" applyFont="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pplyProtection="1">
      <alignment horizontal="left" vertical="center"/>
      <protection locked="0"/>
    </xf>
    <xf numFmtId="0" fontId="16" fillId="0" borderId="0" xfId="0" applyFont="1">
      <alignment vertical="center"/>
    </xf>
    <xf numFmtId="0" fontId="17" fillId="0" borderId="2" xfId="0" applyFont="1" applyBorder="1" applyAlignment="1">
      <alignment horizontal="left" vertical="center" wrapText="1"/>
    </xf>
    <xf numFmtId="0" fontId="16" fillId="0" borderId="0" xfId="0" applyFont="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5" fillId="6"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0" fillId="0" borderId="3" xfId="2" applyFont="1" applyBorder="1" applyAlignment="1">
      <alignment horizontal="center" vertical="center" wrapText="1"/>
    </xf>
    <xf numFmtId="0" fontId="20" fillId="0" borderId="3" xfId="3" applyFont="1" applyBorder="1" applyAlignment="1"/>
    <xf numFmtId="0" fontId="20" fillId="0" borderId="3" xfId="3" applyFont="1" applyBorder="1" applyAlignment="1">
      <alignment horizontal="left"/>
    </xf>
    <xf numFmtId="0" fontId="20" fillId="0" borderId="3" xfId="2" applyFont="1" applyBorder="1" applyAlignment="1">
      <alignment vertical="center" wrapText="1"/>
    </xf>
    <xf numFmtId="0" fontId="7" fillId="0" borderId="3" xfId="0" applyFont="1" applyBorder="1" applyAlignment="1">
      <alignment vertical="center" wrapText="1"/>
    </xf>
    <xf numFmtId="0" fontId="7" fillId="8" borderId="3" xfId="0" applyFont="1" applyFill="1" applyBorder="1" applyAlignment="1">
      <alignment vertical="center" wrapText="1"/>
    </xf>
    <xf numFmtId="0" fontId="22" fillId="0" borderId="3" xfId="0" applyFont="1" applyBorder="1" applyAlignment="1">
      <alignment vertical="center" wrapText="1"/>
    </xf>
    <xf numFmtId="0" fontId="23" fillId="0" borderId="3" xfId="0" applyFont="1" applyBorder="1" applyAlignment="1"/>
    <xf numFmtId="0" fontId="20" fillId="0" borderId="3" xfId="2" applyFont="1" applyBorder="1" applyAlignment="1">
      <alignment horizontal="left" vertical="center" wrapText="1"/>
    </xf>
    <xf numFmtId="0" fontId="23" fillId="0" borderId="3" xfId="0" applyFont="1" applyBorder="1" applyAlignment="1">
      <alignment wrapText="1"/>
    </xf>
    <xf numFmtId="0" fontId="24" fillId="0" borderId="3" xfId="2" applyFont="1" applyBorder="1" applyAlignment="1">
      <alignment horizontal="left" vertical="center" wrapText="1"/>
    </xf>
    <xf numFmtId="0" fontId="3" fillId="2"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7" fillId="7" borderId="3" xfId="0" applyFont="1" applyFill="1" applyBorder="1" applyAlignment="1">
      <alignment horizontal="center" vertical="center"/>
    </xf>
    <xf numFmtId="0" fontId="7" fillId="0" borderId="3" xfId="0" applyFont="1" applyBorder="1" applyAlignment="1">
      <alignment horizontal="center" vertical="center"/>
    </xf>
    <xf numFmtId="0" fontId="6" fillId="0" borderId="3" xfId="0" applyFont="1" applyBorder="1" applyAlignment="1">
      <alignment horizontal="center"/>
    </xf>
    <xf numFmtId="0" fontId="6" fillId="0" borderId="3" xfId="0" applyFont="1" applyBorder="1" applyAlignment="1">
      <alignment horizontal="left"/>
    </xf>
    <xf numFmtId="0" fontId="7" fillId="0" borderId="3" xfId="0" applyFont="1" applyBorder="1" applyAlignment="1">
      <alignment horizontal="center"/>
    </xf>
    <xf numFmtId="0" fontId="0" fillId="0" borderId="3" xfId="0" applyBorder="1" applyAlignment="1"/>
    <xf numFmtId="0" fontId="0" fillId="0" borderId="3" xfId="0" applyBorder="1" applyAlignment="1">
      <alignment horizontal="center"/>
    </xf>
    <xf numFmtId="0" fontId="0" fillId="7" borderId="3" xfId="0" applyFill="1" applyBorder="1" applyAlignment="1" applyProtection="1">
      <alignment horizontal="center"/>
      <protection locked="0"/>
    </xf>
    <xf numFmtId="0" fontId="6" fillId="8" borderId="3" xfId="0" applyFont="1" applyFill="1" applyBorder="1" applyAlignment="1">
      <alignment horizontal="center"/>
    </xf>
    <xf numFmtId="0" fontId="0" fillId="8" borderId="3" xfId="0" applyFill="1" applyBorder="1" applyAlignment="1">
      <alignment horizontal="center"/>
    </xf>
    <xf numFmtId="0" fontId="25" fillId="9" borderId="1" xfId="2"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7" borderId="1" xfId="0" applyFont="1" applyFill="1" applyBorder="1">
      <alignment vertical="center"/>
    </xf>
    <xf numFmtId="0" fontId="26" fillId="7" borderId="1" xfId="0" applyFont="1" applyFill="1" applyBorder="1" applyAlignment="1">
      <alignment horizontal="left" vertical="center" wrapText="1" readingOrder="1"/>
    </xf>
    <xf numFmtId="0" fontId="7" fillId="0" borderId="1" xfId="0" applyFont="1" applyBorder="1">
      <alignment vertical="center"/>
    </xf>
    <xf numFmtId="0" fontId="26" fillId="0" borderId="1" xfId="0" applyFont="1" applyBorder="1" applyAlignment="1">
      <alignment horizontal="left" vertical="center" wrapText="1" readingOrder="1"/>
    </xf>
    <xf numFmtId="0" fontId="6" fillId="0" borderId="1" xfId="0" applyFont="1" applyBorder="1">
      <alignment vertical="center"/>
    </xf>
    <xf numFmtId="0" fontId="27" fillId="7" borderId="1" xfId="0" applyFont="1" applyFill="1" applyBorder="1" applyAlignment="1">
      <alignment vertical="center" wrapText="1"/>
    </xf>
    <xf numFmtId="0" fontId="27" fillId="10" borderId="1" xfId="0" applyFont="1" applyFill="1" applyBorder="1" applyAlignment="1">
      <alignment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xf numFmtId="0" fontId="7" fillId="0" borderId="1" xfId="0" applyFont="1" applyBorder="1" applyAlignment="1">
      <alignment horizontal="left" vertical="center"/>
    </xf>
    <xf numFmtId="0" fontId="7" fillId="0" borderId="1" xfId="0" applyFont="1" applyBorder="1" applyAlignment="1"/>
  </cellXfs>
  <cellStyles count="4">
    <cellStyle name="常规" xfId="0" builtinId="0" customBuiltin="1"/>
    <cellStyle name="常规 2" xfId="1" xr:uid="{23121A1D-07D3-47EB-8FB9-2B0565E47324}"/>
    <cellStyle name="常规 2 2" xfId="2" xr:uid="{4FCFE44E-4E6B-440E-AFF7-2F538B1D01D5}"/>
    <cellStyle name="常规 5" xfId="3" xr:uid="{6943B8C4-F980-4018-B044-1C9F029144F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524"/>
  <sheetViews>
    <sheetView zoomScaleNormal="100" workbookViewId="0">
      <selection activeCell="E412" sqref="E412"/>
    </sheetView>
  </sheetViews>
  <sheetFormatPr defaultRowHeight="14" x14ac:dyDescent="0.25"/>
  <cols>
    <col min="4" max="4" width="16.54296875" customWidth="1"/>
    <col min="5" max="5" width="19.90625" customWidth="1"/>
    <col min="6" max="6" width="27.81640625" customWidth="1"/>
  </cols>
  <sheetData>
    <row r="1" spans="1:38" ht="36" x14ac:dyDescent="0.25">
      <c r="A1" s="16" t="s">
        <v>0</v>
      </c>
      <c r="B1" s="16" t="s">
        <v>1</v>
      </c>
      <c r="C1" s="16" t="s">
        <v>2</v>
      </c>
      <c r="D1" s="16" t="s">
        <v>3</v>
      </c>
      <c r="E1" s="16" t="s">
        <v>4</v>
      </c>
      <c r="F1" s="16" t="s">
        <v>5</v>
      </c>
      <c r="G1" s="17" t="s">
        <v>6</v>
      </c>
      <c r="H1" s="17" t="s">
        <v>7</v>
      </c>
      <c r="I1" s="16" t="s">
        <v>8</v>
      </c>
      <c r="J1" s="16" t="s">
        <v>9</v>
      </c>
      <c r="K1" s="16" t="s">
        <v>10</v>
      </c>
      <c r="L1" s="16" t="s">
        <v>11</v>
      </c>
      <c r="M1" s="17" t="s">
        <v>12</v>
      </c>
      <c r="N1" s="18" t="s">
        <v>13</v>
      </c>
      <c r="O1" s="18" t="s">
        <v>14</v>
      </c>
      <c r="P1" s="18" t="s">
        <v>15</v>
      </c>
      <c r="Q1" s="18" t="s">
        <v>16</v>
      </c>
      <c r="R1" s="18" t="s">
        <v>17</v>
      </c>
      <c r="S1" s="18" t="s">
        <v>18</v>
      </c>
      <c r="T1" s="18" t="s">
        <v>19</v>
      </c>
      <c r="U1" s="18" t="s">
        <v>20</v>
      </c>
      <c r="V1" s="18" t="s">
        <v>21</v>
      </c>
      <c r="W1" s="18" t="s">
        <v>22</v>
      </c>
      <c r="X1" s="19" t="s">
        <v>23</v>
      </c>
      <c r="Y1" s="19" t="s">
        <v>24</v>
      </c>
      <c r="Z1" s="19" t="s">
        <v>25</v>
      </c>
      <c r="AA1" s="20" t="s">
        <v>26</v>
      </c>
      <c r="AB1" s="20" t="s">
        <v>27</v>
      </c>
      <c r="AC1" s="20" t="s">
        <v>28</v>
      </c>
      <c r="AD1" s="20" t="s">
        <v>29</v>
      </c>
      <c r="AE1" s="20" t="s">
        <v>30</v>
      </c>
      <c r="AF1" s="20" t="s">
        <v>31</v>
      </c>
      <c r="AG1" s="20" t="s">
        <v>22</v>
      </c>
      <c r="AH1" s="20" t="s">
        <v>20</v>
      </c>
      <c r="AI1" s="20" t="s">
        <v>32</v>
      </c>
      <c r="AJ1" s="21" t="s">
        <v>33</v>
      </c>
      <c r="AK1" s="21" t="s">
        <v>34</v>
      </c>
      <c r="AL1" s="21" t="s">
        <v>35</v>
      </c>
    </row>
    <row r="2" spans="1:38" hidden="1" x14ac:dyDescent="0.25">
      <c r="A2" s="24">
        <f t="shared" ref="A2:A6" si="0">ROW()-1</f>
        <v>1</v>
      </c>
      <c r="B2" s="25" t="s">
        <v>50</v>
      </c>
      <c r="C2" s="25" t="s">
        <v>51</v>
      </c>
      <c r="D2" s="25" t="s">
        <v>52</v>
      </c>
      <c r="E2" s="25" t="s">
        <v>53</v>
      </c>
      <c r="F2" s="25" t="s">
        <v>54</v>
      </c>
      <c r="G2" s="25" t="s">
        <v>56</v>
      </c>
      <c r="H2" s="25" t="s">
        <v>57</v>
      </c>
      <c r="I2" s="25" t="s">
        <v>56</v>
      </c>
      <c r="J2" s="25" t="s">
        <v>38</v>
      </c>
      <c r="K2" s="25">
        <v>60</v>
      </c>
      <c r="L2" s="25" t="s">
        <v>39</v>
      </c>
      <c r="M2" s="25" t="s">
        <v>58</v>
      </c>
      <c r="N2" s="23" t="s">
        <v>55</v>
      </c>
      <c r="O2" s="23" t="s">
        <v>59</v>
      </c>
      <c r="P2" s="26" t="s">
        <v>60</v>
      </c>
      <c r="Q2" s="26">
        <v>3</v>
      </c>
      <c r="R2" s="26" t="s">
        <v>61</v>
      </c>
      <c r="S2" s="26">
        <v>80</v>
      </c>
      <c r="T2" s="26">
        <v>90</v>
      </c>
      <c r="U2" s="23" t="s">
        <v>58</v>
      </c>
      <c r="V2" s="23" t="s">
        <v>62</v>
      </c>
      <c r="W2" s="23"/>
      <c r="X2" s="23" t="e">
        <f>IF(COUNTIF(#REF!,_xlfn.TEXTJOIN(".",,C2,F2,H2)),"是","否")</f>
        <v>#REF!</v>
      </c>
      <c r="Y2" s="23" t="e">
        <f t="shared" ref="Y2:Y6" si="1">IF(AND(O2="底线指标",X2="是"),"是","否")</f>
        <v>#REF!</v>
      </c>
      <c r="Z2" s="23"/>
      <c r="AA2" s="23" t="s">
        <v>55</v>
      </c>
      <c r="AB2" s="23" t="s">
        <v>60</v>
      </c>
      <c r="AC2" s="23">
        <v>3</v>
      </c>
      <c r="AD2" s="23"/>
      <c r="AE2" s="23" t="s">
        <v>63</v>
      </c>
      <c r="AF2" s="23" t="s">
        <v>64</v>
      </c>
      <c r="AG2" s="23"/>
      <c r="AH2" s="23" t="s">
        <v>58</v>
      </c>
      <c r="AI2" s="23" t="s">
        <v>62</v>
      </c>
      <c r="AJ2" s="1" t="str">
        <f t="shared" ref="AJ2:AJ6" si="2">_xlfn.TEXTJOIN(".",TRUE,C2,F2,H2)</f>
        <v>SYS.GEIP.geip_global_eip_id.downstream_bandwidth_usage</v>
      </c>
      <c r="AK2" s="1"/>
      <c r="AL2" s="1"/>
    </row>
    <row r="3" spans="1:38" hidden="1" x14ac:dyDescent="0.25">
      <c r="A3" s="24">
        <f t="shared" si="0"/>
        <v>2</v>
      </c>
      <c r="B3" s="25" t="s">
        <v>50</v>
      </c>
      <c r="C3" s="25" t="s">
        <v>51</v>
      </c>
      <c r="D3" s="25" t="s">
        <v>52</v>
      </c>
      <c r="E3" s="25" t="s">
        <v>53</v>
      </c>
      <c r="F3" s="25" t="s">
        <v>54</v>
      </c>
      <c r="G3" s="25" t="s">
        <v>65</v>
      </c>
      <c r="H3" s="25" t="s">
        <v>66</v>
      </c>
      <c r="I3" s="25" t="s">
        <v>65</v>
      </c>
      <c r="J3" s="25" t="s">
        <v>38</v>
      </c>
      <c r="K3" s="25">
        <v>60</v>
      </c>
      <c r="L3" s="25" t="s">
        <v>39</v>
      </c>
      <c r="M3" s="25" t="s">
        <v>58</v>
      </c>
      <c r="N3" s="23" t="s">
        <v>55</v>
      </c>
      <c r="O3" s="23" t="s">
        <v>59</v>
      </c>
      <c r="P3" s="26" t="s">
        <v>60</v>
      </c>
      <c r="Q3" s="26">
        <v>3</v>
      </c>
      <c r="R3" s="26" t="s">
        <v>61</v>
      </c>
      <c r="S3" s="26">
        <v>80</v>
      </c>
      <c r="T3" s="26">
        <v>90</v>
      </c>
      <c r="U3" s="23" t="s">
        <v>58</v>
      </c>
      <c r="V3" s="23" t="s">
        <v>62</v>
      </c>
      <c r="W3" s="23"/>
      <c r="X3" s="23" t="e">
        <f>IF(COUNTIF(#REF!,_xlfn.TEXTJOIN(".",,C3,F3,H3)),"是","否")</f>
        <v>#REF!</v>
      </c>
      <c r="Y3" s="23" t="e">
        <f t="shared" si="1"/>
        <v>#REF!</v>
      </c>
      <c r="Z3" s="23"/>
      <c r="AA3" s="23" t="s">
        <v>55</v>
      </c>
      <c r="AB3" s="23" t="s">
        <v>60</v>
      </c>
      <c r="AC3" s="23">
        <v>3</v>
      </c>
      <c r="AD3" s="23"/>
      <c r="AE3" s="23" t="s">
        <v>63</v>
      </c>
      <c r="AF3" s="23" t="s">
        <v>64</v>
      </c>
      <c r="AG3" s="23"/>
      <c r="AH3" s="23" t="s">
        <v>58</v>
      </c>
      <c r="AI3" s="23" t="s">
        <v>62</v>
      </c>
      <c r="AJ3" s="1" t="str">
        <f t="shared" si="2"/>
        <v>SYS.GEIP.geip_global_eip_id.upstream_bandwidth_usage</v>
      </c>
      <c r="AK3" s="1"/>
      <c r="AL3" s="1"/>
    </row>
    <row r="4" spans="1:38" hidden="1" x14ac:dyDescent="0.25">
      <c r="A4" s="24">
        <f t="shared" si="0"/>
        <v>3</v>
      </c>
      <c r="B4" s="25" t="s">
        <v>50</v>
      </c>
      <c r="C4" s="25" t="s">
        <v>51</v>
      </c>
      <c r="D4" s="25" t="s">
        <v>52</v>
      </c>
      <c r="E4" s="25" t="s">
        <v>67</v>
      </c>
      <c r="F4" s="25" t="s">
        <v>68</v>
      </c>
      <c r="G4" s="25" t="s">
        <v>56</v>
      </c>
      <c r="H4" s="25" t="s">
        <v>57</v>
      </c>
      <c r="I4" s="25" t="s">
        <v>56</v>
      </c>
      <c r="J4" s="25" t="s">
        <v>38</v>
      </c>
      <c r="K4" s="25">
        <v>60</v>
      </c>
      <c r="L4" s="25" t="s">
        <v>39</v>
      </c>
      <c r="M4" s="25" t="s">
        <v>58</v>
      </c>
      <c r="N4" s="23" t="s">
        <v>55</v>
      </c>
      <c r="O4" s="23" t="s">
        <v>59</v>
      </c>
      <c r="P4" s="26" t="s">
        <v>60</v>
      </c>
      <c r="Q4" s="26">
        <v>3</v>
      </c>
      <c r="R4" s="26" t="s">
        <v>61</v>
      </c>
      <c r="S4" s="26">
        <v>80</v>
      </c>
      <c r="T4" s="26">
        <v>90</v>
      </c>
      <c r="U4" s="23" t="s">
        <v>58</v>
      </c>
      <c r="V4" s="23" t="s">
        <v>62</v>
      </c>
      <c r="W4" s="23"/>
      <c r="X4" s="23" t="e">
        <f>IF(COUNTIF(#REF!,_xlfn.TEXTJOIN(".",,C4,F4,H4)),"是","否")</f>
        <v>#REF!</v>
      </c>
      <c r="Y4" s="23" t="e">
        <f t="shared" si="1"/>
        <v>#REF!</v>
      </c>
      <c r="Z4" s="23"/>
      <c r="AA4" s="23" t="s">
        <v>55</v>
      </c>
      <c r="AB4" s="23" t="s">
        <v>60</v>
      </c>
      <c r="AC4" s="23">
        <v>3</v>
      </c>
      <c r="AD4" s="23"/>
      <c r="AE4" s="23" t="s">
        <v>63</v>
      </c>
      <c r="AF4" s="23" t="s">
        <v>64</v>
      </c>
      <c r="AG4" s="23"/>
      <c r="AH4" s="23" t="s">
        <v>58</v>
      </c>
      <c r="AI4" s="23" t="s">
        <v>62</v>
      </c>
      <c r="AJ4" s="1" t="str">
        <f t="shared" si="2"/>
        <v>SYS.GEIP.geip_global_eip_segments_id.downstream_bandwidth_usage</v>
      </c>
      <c r="AK4" s="1"/>
      <c r="AL4" s="1"/>
    </row>
    <row r="5" spans="1:38" hidden="1" x14ac:dyDescent="0.25">
      <c r="A5" s="24">
        <f t="shared" si="0"/>
        <v>4</v>
      </c>
      <c r="B5" s="25" t="s">
        <v>50</v>
      </c>
      <c r="C5" s="25" t="s">
        <v>51</v>
      </c>
      <c r="D5" s="25" t="s">
        <v>52</v>
      </c>
      <c r="E5" s="25" t="s">
        <v>67</v>
      </c>
      <c r="F5" s="25" t="s">
        <v>68</v>
      </c>
      <c r="G5" s="25" t="s">
        <v>65</v>
      </c>
      <c r="H5" s="25" t="s">
        <v>66</v>
      </c>
      <c r="I5" s="25" t="s">
        <v>65</v>
      </c>
      <c r="J5" s="25" t="s">
        <v>38</v>
      </c>
      <c r="K5" s="25">
        <v>60</v>
      </c>
      <c r="L5" s="25" t="s">
        <v>39</v>
      </c>
      <c r="M5" s="25" t="s">
        <v>58</v>
      </c>
      <c r="N5" s="23" t="s">
        <v>55</v>
      </c>
      <c r="O5" s="23" t="s">
        <v>59</v>
      </c>
      <c r="P5" s="26" t="s">
        <v>60</v>
      </c>
      <c r="Q5" s="26">
        <v>3</v>
      </c>
      <c r="R5" s="26" t="s">
        <v>61</v>
      </c>
      <c r="S5" s="26">
        <v>80</v>
      </c>
      <c r="T5" s="26">
        <v>90</v>
      </c>
      <c r="U5" s="23" t="s">
        <v>58</v>
      </c>
      <c r="V5" s="23" t="s">
        <v>62</v>
      </c>
      <c r="W5" s="23"/>
      <c r="X5" s="23" t="e">
        <f>IF(COUNTIF(#REF!,_xlfn.TEXTJOIN(".",,C5,F5,H5)),"是","否")</f>
        <v>#REF!</v>
      </c>
      <c r="Y5" s="23" t="e">
        <f t="shared" si="1"/>
        <v>#REF!</v>
      </c>
      <c r="Z5" s="23"/>
      <c r="AA5" s="23" t="s">
        <v>55</v>
      </c>
      <c r="AB5" s="23" t="s">
        <v>60</v>
      </c>
      <c r="AC5" s="23">
        <v>3</v>
      </c>
      <c r="AD5" s="23"/>
      <c r="AE5" s="23" t="s">
        <v>63</v>
      </c>
      <c r="AF5" s="23" t="s">
        <v>64</v>
      </c>
      <c r="AG5" s="23"/>
      <c r="AH5" s="23" t="s">
        <v>58</v>
      </c>
      <c r="AI5" s="23" t="s">
        <v>62</v>
      </c>
      <c r="AJ5" s="1" t="str">
        <f t="shared" si="2"/>
        <v>SYS.GEIP.geip_global_eip_segments_id.upstream_bandwidth_usage</v>
      </c>
      <c r="AK5" s="1"/>
      <c r="AL5" s="1"/>
    </row>
    <row r="6" spans="1:38" hidden="1" x14ac:dyDescent="0.25">
      <c r="A6" s="24">
        <f t="shared" si="0"/>
        <v>5</v>
      </c>
      <c r="B6" s="25" t="s">
        <v>50</v>
      </c>
      <c r="C6" s="25" t="s">
        <v>51</v>
      </c>
      <c r="D6" s="25" t="s">
        <v>52</v>
      </c>
      <c r="E6" s="25" t="s">
        <v>69</v>
      </c>
      <c r="F6" s="25" t="s">
        <v>70</v>
      </c>
      <c r="G6" s="25" t="s">
        <v>56</v>
      </c>
      <c r="H6" s="25" t="s">
        <v>57</v>
      </c>
      <c r="I6" s="25" t="s">
        <v>56</v>
      </c>
      <c r="J6" s="25" t="s">
        <v>38</v>
      </c>
      <c r="K6" s="25">
        <v>60</v>
      </c>
      <c r="L6" s="25" t="s">
        <v>39</v>
      </c>
      <c r="M6" s="25" t="s">
        <v>58</v>
      </c>
      <c r="N6" s="23" t="s">
        <v>55</v>
      </c>
      <c r="O6" s="23" t="s">
        <v>59</v>
      </c>
      <c r="P6" s="26" t="s">
        <v>60</v>
      </c>
      <c r="Q6" s="26">
        <v>3</v>
      </c>
      <c r="R6" s="26" t="s">
        <v>61</v>
      </c>
      <c r="S6" s="26">
        <v>80</v>
      </c>
      <c r="T6" s="26">
        <v>90</v>
      </c>
      <c r="U6" s="23" t="s">
        <v>58</v>
      </c>
      <c r="V6" s="23" t="s">
        <v>62</v>
      </c>
      <c r="W6" s="23"/>
      <c r="X6" s="23" t="e">
        <f>IF(COUNTIF(#REF!,_xlfn.TEXTJOIN(".",,C6,F6,H6)),"是","否")</f>
        <v>#REF!</v>
      </c>
      <c r="Y6" s="23" t="e">
        <f t="shared" si="1"/>
        <v>#REF!</v>
      </c>
      <c r="Z6" s="23"/>
      <c r="AA6" s="23" t="s">
        <v>55</v>
      </c>
      <c r="AB6" s="23" t="s">
        <v>60</v>
      </c>
      <c r="AC6" s="23">
        <v>3</v>
      </c>
      <c r="AD6" s="23"/>
      <c r="AE6" s="23" t="s">
        <v>63</v>
      </c>
      <c r="AF6" s="23" t="s">
        <v>64</v>
      </c>
      <c r="AG6" s="23"/>
      <c r="AH6" s="23" t="s">
        <v>58</v>
      </c>
      <c r="AI6" s="23" t="s">
        <v>62</v>
      </c>
      <c r="AJ6" s="1" t="str">
        <f t="shared" si="2"/>
        <v>SYS.GEIP.geip_internet_bandwidth_id.downstream_bandwidth_usage</v>
      </c>
      <c r="AK6" s="1"/>
      <c r="AL6" s="1"/>
    </row>
    <row r="7" spans="1:38" hidden="1" x14ac:dyDescent="0.25">
      <c r="A7" s="24">
        <f t="shared" ref="A7:A12" si="3">ROW()-1</f>
        <v>6</v>
      </c>
      <c r="B7" s="25" t="s">
        <v>50</v>
      </c>
      <c r="C7" s="25" t="s">
        <v>51</v>
      </c>
      <c r="D7" s="25" t="s">
        <v>52</v>
      </c>
      <c r="E7" s="25" t="s">
        <v>69</v>
      </c>
      <c r="F7" s="25" t="s">
        <v>70</v>
      </c>
      <c r="G7" s="25" t="s">
        <v>65</v>
      </c>
      <c r="H7" s="25" t="s">
        <v>66</v>
      </c>
      <c r="I7" s="25" t="s">
        <v>65</v>
      </c>
      <c r="J7" s="25" t="s">
        <v>38</v>
      </c>
      <c r="K7" s="25">
        <v>60</v>
      </c>
      <c r="L7" s="25" t="s">
        <v>39</v>
      </c>
      <c r="M7" s="25" t="s">
        <v>58</v>
      </c>
      <c r="N7" s="23" t="s">
        <v>55</v>
      </c>
      <c r="O7" s="23" t="s">
        <v>59</v>
      </c>
      <c r="P7" s="26" t="s">
        <v>60</v>
      </c>
      <c r="Q7" s="26">
        <v>3</v>
      </c>
      <c r="R7" s="26" t="s">
        <v>61</v>
      </c>
      <c r="S7" s="26">
        <v>80</v>
      </c>
      <c r="T7" s="26">
        <v>90</v>
      </c>
      <c r="U7" s="23" t="s">
        <v>58</v>
      </c>
      <c r="V7" s="23" t="s">
        <v>62</v>
      </c>
      <c r="W7" s="23"/>
      <c r="X7" s="23" t="e">
        <f>IF(COUNTIF(#REF!,_xlfn.TEXTJOIN(".",,C7,F7,H7)),"是","否")</f>
        <v>#REF!</v>
      </c>
      <c r="Y7" s="23" t="e">
        <f t="shared" ref="Y7:Y12" si="4">IF(AND(O7="底线指标",X7="是"),"是","否")</f>
        <v>#REF!</v>
      </c>
      <c r="Z7" s="23"/>
      <c r="AA7" s="23" t="s">
        <v>55</v>
      </c>
      <c r="AB7" s="23" t="s">
        <v>60</v>
      </c>
      <c r="AC7" s="23">
        <v>3</v>
      </c>
      <c r="AD7" s="23"/>
      <c r="AE7" s="23" t="s">
        <v>63</v>
      </c>
      <c r="AF7" s="23" t="s">
        <v>64</v>
      </c>
      <c r="AG7" s="23"/>
      <c r="AH7" s="23" t="s">
        <v>58</v>
      </c>
      <c r="AI7" s="23" t="s">
        <v>62</v>
      </c>
      <c r="AJ7" s="1" t="str">
        <f t="shared" ref="AJ7:AJ12" si="5">_xlfn.TEXTJOIN(".",TRUE,C7,F7,H7)</f>
        <v>SYS.GEIP.geip_internet_bandwidth_id.upstream_bandwidth_usage</v>
      </c>
      <c r="AK7" s="1"/>
      <c r="AL7" s="1"/>
    </row>
    <row r="8" spans="1:38" hidden="1" x14ac:dyDescent="0.25">
      <c r="A8" s="24">
        <f t="shared" si="3"/>
        <v>7</v>
      </c>
      <c r="B8" s="25" t="s">
        <v>96</v>
      </c>
      <c r="C8" s="25" t="s">
        <v>97</v>
      </c>
      <c r="D8" s="27" t="s">
        <v>98</v>
      </c>
      <c r="E8" s="25" t="s">
        <v>99</v>
      </c>
      <c r="F8" s="25" t="s">
        <v>100</v>
      </c>
      <c r="G8" s="25" t="s">
        <v>101</v>
      </c>
      <c r="H8" s="25" t="s">
        <v>102</v>
      </c>
      <c r="I8" s="25" t="s">
        <v>103</v>
      </c>
      <c r="J8" s="25" t="s">
        <v>38</v>
      </c>
      <c r="K8" s="25">
        <v>60</v>
      </c>
      <c r="L8" s="25"/>
      <c r="M8" s="25" t="s">
        <v>58</v>
      </c>
      <c r="N8" s="23" t="s">
        <v>55</v>
      </c>
      <c r="O8" s="23" t="s">
        <v>59</v>
      </c>
      <c r="P8" s="23" t="s">
        <v>60</v>
      </c>
      <c r="Q8" s="23">
        <v>3</v>
      </c>
      <c r="R8" s="23" t="s">
        <v>61</v>
      </c>
      <c r="S8" s="23">
        <v>80</v>
      </c>
      <c r="T8" s="23">
        <v>85</v>
      </c>
      <c r="U8" s="23" t="s">
        <v>58</v>
      </c>
      <c r="V8" s="23" t="s">
        <v>62</v>
      </c>
      <c r="W8" s="23"/>
      <c r="X8" s="23" t="e">
        <f>IF(COUNTIF(#REF!,_xlfn.TEXTJOIN(".",,C8,F8,H8)),"是","否")</f>
        <v>#REF!</v>
      </c>
      <c r="Y8" s="23" t="e">
        <f t="shared" si="4"/>
        <v>#REF!</v>
      </c>
      <c r="Z8" s="23"/>
      <c r="AA8" s="23" t="s">
        <v>55</v>
      </c>
      <c r="AB8" s="23" t="s">
        <v>60</v>
      </c>
      <c r="AC8" s="23">
        <v>3</v>
      </c>
      <c r="AD8" s="23" t="s">
        <v>61</v>
      </c>
      <c r="AE8" s="23">
        <v>80</v>
      </c>
      <c r="AF8" s="23"/>
      <c r="AG8" s="23"/>
      <c r="AH8" s="23" t="s">
        <v>58</v>
      </c>
      <c r="AI8" s="23" t="s">
        <v>62</v>
      </c>
      <c r="AJ8" s="1" t="str">
        <f t="shared" si="5"/>
        <v>SYS.GAUSSDBV5.gaussdbv5_instance_id.rds007_instance_disk_usage</v>
      </c>
      <c r="AK8" s="1"/>
      <c r="AL8" s="1"/>
    </row>
    <row r="9" spans="1:38" hidden="1" x14ac:dyDescent="0.25">
      <c r="A9" s="24">
        <f t="shared" si="3"/>
        <v>8</v>
      </c>
      <c r="B9" s="25" t="s">
        <v>96</v>
      </c>
      <c r="C9" s="25" t="s">
        <v>97</v>
      </c>
      <c r="D9" s="27" t="s">
        <v>98</v>
      </c>
      <c r="E9" s="25" t="s">
        <v>105</v>
      </c>
      <c r="F9" s="25" t="s">
        <v>106</v>
      </c>
      <c r="G9" s="25" t="s">
        <v>72</v>
      </c>
      <c r="H9" s="25" t="s">
        <v>107</v>
      </c>
      <c r="I9" s="25" t="s">
        <v>108</v>
      </c>
      <c r="J9" s="25" t="s">
        <v>38</v>
      </c>
      <c r="K9" s="25">
        <v>60</v>
      </c>
      <c r="L9" s="25"/>
      <c r="M9" s="25" t="s">
        <v>58</v>
      </c>
      <c r="N9" s="23" t="s">
        <v>55</v>
      </c>
      <c r="O9" s="23" t="s">
        <v>59</v>
      </c>
      <c r="P9" s="23" t="s">
        <v>60</v>
      </c>
      <c r="Q9" s="23">
        <v>3</v>
      </c>
      <c r="R9" s="23" t="s">
        <v>61</v>
      </c>
      <c r="S9" s="23">
        <v>80</v>
      </c>
      <c r="T9" s="23">
        <v>90</v>
      </c>
      <c r="U9" s="23" t="s">
        <v>58</v>
      </c>
      <c r="V9" s="23" t="s">
        <v>62</v>
      </c>
      <c r="W9" s="23"/>
      <c r="X9" s="23" t="e">
        <f>IF(COUNTIF(#REF!,_xlfn.TEXTJOIN(".",,C9,F9,H9)),"是","否")</f>
        <v>#REF!</v>
      </c>
      <c r="Y9" s="23" t="e">
        <f t="shared" si="4"/>
        <v>#REF!</v>
      </c>
      <c r="Z9" s="23"/>
      <c r="AA9" s="23" t="s">
        <v>55</v>
      </c>
      <c r="AB9" s="23" t="s">
        <v>60</v>
      </c>
      <c r="AC9" s="23">
        <v>3</v>
      </c>
      <c r="AD9" s="23" t="s">
        <v>61</v>
      </c>
      <c r="AE9" s="23">
        <v>80</v>
      </c>
      <c r="AF9" s="23"/>
      <c r="AG9" s="23"/>
      <c r="AH9" s="23" t="s">
        <v>58</v>
      </c>
      <c r="AI9" s="23" t="s">
        <v>62</v>
      </c>
      <c r="AJ9" s="1" t="str">
        <f t="shared" si="5"/>
        <v>SYS.GAUSSDBV5.gaussdbv5_instance_id,gaussdbv5_node_id.rds001_cpu_util</v>
      </c>
      <c r="AK9" s="1"/>
      <c r="AL9" s="1"/>
    </row>
    <row r="10" spans="1:38" hidden="1" x14ac:dyDescent="0.25">
      <c r="A10" s="24">
        <f t="shared" si="3"/>
        <v>9</v>
      </c>
      <c r="B10" s="25" t="s">
        <v>96</v>
      </c>
      <c r="C10" s="25" t="s">
        <v>97</v>
      </c>
      <c r="D10" s="27" t="s">
        <v>98</v>
      </c>
      <c r="E10" s="25" t="s">
        <v>105</v>
      </c>
      <c r="F10" s="25" t="s">
        <v>106</v>
      </c>
      <c r="G10" s="25" t="s">
        <v>76</v>
      </c>
      <c r="H10" s="25" t="s">
        <v>109</v>
      </c>
      <c r="I10" s="25" t="s">
        <v>110</v>
      </c>
      <c r="J10" s="25" t="s">
        <v>38</v>
      </c>
      <c r="K10" s="25">
        <v>60</v>
      </c>
      <c r="L10" s="25"/>
      <c r="M10" s="25" t="s">
        <v>58</v>
      </c>
      <c r="N10" s="23" t="s">
        <v>55</v>
      </c>
      <c r="O10" s="23" t="s">
        <v>59</v>
      </c>
      <c r="P10" s="23" t="s">
        <v>60</v>
      </c>
      <c r="Q10" s="23">
        <v>3</v>
      </c>
      <c r="R10" s="23" t="s">
        <v>61</v>
      </c>
      <c r="S10" s="23">
        <v>80</v>
      </c>
      <c r="T10" s="23">
        <v>90</v>
      </c>
      <c r="U10" s="23" t="s">
        <v>58</v>
      </c>
      <c r="V10" s="23" t="s">
        <v>62</v>
      </c>
      <c r="W10" s="23"/>
      <c r="X10" s="23" t="e">
        <f>IF(COUNTIF(#REF!,_xlfn.TEXTJOIN(".",,C10,F10,H10)),"是","否")</f>
        <v>#REF!</v>
      </c>
      <c r="Y10" s="23" t="e">
        <f t="shared" si="4"/>
        <v>#REF!</v>
      </c>
      <c r="Z10" s="23"/>
      <c r="AA10" s="23" t="s">
        <v>55</v>
      </c>
      <c r="AB10" s="23" t="s">
        <v>60</v>
      </c>
      <c r="AC10" s="23">
        <v>3</v>
      </c>
      <c r="AD10" s="23" t="s">
        <v>61</v>
      </c>
      <c r="AE10" s="23">
        <v>90</v>
      </c>
      <c r="AF10" s="23"/>
      <c r="AG10" s="23"/>
      <c r="AH10" s="23" t="s">
        <v>58</v>
      </c>
      <c r="AI10" s="23" t="s">
        <v>62</v>
      </c>
      <c r="AJ10" s="1" t="str">
        <f t="shared" si="5"/>
        <v>SYS.GAUSSDBV5.gaussdbv5_instance_id,gaussdbv5_node_id.rds002_mem_util</v>
      </c>
      <c r="AK10" s="1"/>
      <c r="AL10" s="1"/>
    </row>
    <row r="11" spans="1:38" hidden="1" x14ac:dyDescent="0.25">
      <c r="A11" s="24">
        <f t="shared" si="3"/>
        <v>10</v>
      </c>
      <c r="B11" s="25" t="s">
        <v>96</v>
      </c>
      <c r="C11" s="25" t="s">
        <v>97</v>
      </c>
      <c r="D11" s="27" t="s">
        <v>98</v>
      </c>
      <c r="E11" s="25" t="s">
        <v>105</v>
      </c>
      <c r="F11" s="25" t="s">
        <v>106</v>
      </c>
      <c r="G11" s="25" t="s">
        <v>112</v>
      </c>
      <c r="H11" s="25" t="s">
        <v>113</v>
      </c>
      <c r="I11" s="25" t="s">
        <v>114</v>
      </c>
      <c r="J11" s="25" t="s">
        <v>38</v>
      </c>
      <c r="K11" s="25">
        <v>60</v>
      </c>
      <c r="L11" s="25" t="s">
        <v>39</v>
      </c>
      <c r="M11" s="25" t="s">
        <v>58</v>
      </c>
      <c r="N11" s="23" t="s">
        <v>55</v>
      </c>
      <c r="O11" s="23" t="s">
        <v>59</v>
      </c>
      <c r="P11" s="23" t="s">
        <v>60</v>
      </c>
      <c r="Q11" s="23">
        <v>3</v>
      </c>
      <c r="R11" s="23" t="s">
        <v>61</v>
      </c>
      <c r="S11" s="23">
        <v>85</v>
      </c>
      <c r="T11" s="23">
        <v>95</v>
      </c>
      <c r="U11" s="22" t="s">
        <v>58</v>
      </c>
      <c r="V11" s="23" t="s">
        <v>62</v>
      </c>
      <c r="W11" s="23"/>
      <c r="X11" s="23" t="e">
        <f>IF(COUNTIF(#REF!,_xlfn.TEXTJOIN(".",,C11,F11,H11)),"是","否")</f>
        <v>#REF!</v>
      </c>
      <c r="Y11" s="23" t="e">
        <f t="shared" si="4"/>
        <v>#REF!</v>
      </c>
      <c r="Z11" s="23"/>
      <c r="AA11" s="23" t="s">
        <v>55</v>
      </c>
      <c r="AB11" s="23" t="s">
        <v>60</v>
      </c>
      <c r="AC11" s="23">
        <v>3</v>
      </c>
      <c r="AD11" s="23" t="s">
        <v>61</v>
      </c>
      <c r="AE11" s="23">
        <v>80</v>
      </c>
      <c r="AF11" s="23"/>
      <c r="AG11" s="23"/>
      <c r="AH11" s="23" t="s">
        <v>58</v>
      </c>
      <c r="AI11" s="23" t="s">
        <v>62</v>
      </c>
      <c r="AJ11" s="1" t="str">
        <f t="shared" si="5"/>
        <v>SYS.GAUSSDBV5.gaussdbv5_instance_id,gaussdbv5_node_id.io_bandwidth_usage</v>
      </c>
      <c r="AK11" s="1"/>
      <c r="AL11" s="1"/>
    </row>
    <row r="12" spans="1:38" hidden="1" x14ac:dyDescent="0.25">
      <c r="A12" s="24">
        <f t="shared" si="3"/>
        <v>11</v>
      </c>
      <c r="B12" s="25" t="s">
        <v>96</v>
      </c>
      <c r="C12" s="25" t="s">
        <v>97</v>
      </c>
      <c r="D12" s="27" t="s">
        <v>98</v>
      </c>
      <c r="E12" s="25" t="s">
        <v>105</v>
      </c>
      <c r="F12" s="25" t="s">
        <v>106</v>
      </c>
      <c r="G12" s="25" t="s">
        <v>115</v>
      </c>
      <c r="H12" s="25" t="s">
        <v>116</v>
      </c>
      <c r="I12" s="25" t="s">
        <v>117</v>
      </c>
      <c r="J12" s="25" t="s">
        <v>38</v>
      </c>
      <c r="K12" s="25">
        <v>60</v>
      </c>
      <c r="L12" s="25" t="s">
        <v>39</v>
      </c>
      <c r="M12" s="25" t="s">
        <v>58</v>
      </c>
      <c r="N12" s="23" t="s">
        <v>55</v>
      </c>
      <c r="O12" s="23" t="s">
        <v>59</v>
      </c>
      <c r="P12" s="23" t="s">
        <v>60</v>
      </c>
      <c r="Q12" s="23">
        <v>3</v>
      </c>
      <c r="R12" s="23" t="s">
        <v>61</v>
      </c>
      <c r="S12" s="23">
        <v>85</v>
      </c>
      <c r="T12" s="23">
        <v>95</v>
      </c>
      <c r="U12" s="22" t="s">
        <v>58</v>
      </c>
      <c r="V12" s="23" t="s">
        <v>62</v>
      </c>
      <c r="W12" s="23"/>
      <c r="X12" s="23" t="e">
        <f>IF(COUNTIF(#REF!,_xlfn.TEXTJOIN(".",,C12,F12,H12)),"是","否")</f>
        <v>#REF!</v>
      </c>
      <c r="Y12" s="23" t="e">
        <f t="shared" si="4"/>
        <v>#REF!</v>
      </c>
      <c r="Z12" s="23"/>
      <c r="AA12" s="23" t="s">
        <v>55</v>
      </c>
      <c r="AB12" s="23" t="s">
        <v>60</v>
      </c>
      <c r="AC12" s="23">
        <v>3</v>
      </c>
      <c r="AD12" s="23" t="s">
        <v>61</v>
      </c>
      <c r="AE12" s="23">
        <v>80</v>
      </c>
      <c r="AF12" s="23"/>
      <c r="AG12" s="23"/>
      <c r="AH12" s="23" t="s">
        <v>58</v>
      </c>
      <c r="AI12" s="23" t="s">
        <v>62</v>
      </c>
      <c r="AJ12" s="1" t="str">
        <f t="shared" si="5"/>
        <v>SYS.GAUSSDBV5.gaussdbv5_instance_id,gaussdbv5_node_id.iops_usage</v>
      </c>
      <c r="AK12" s="1"/>
      <c r="AL12" s="1"/>
    </row>
    <row r="13" spans="1:38" hidden="1" x14ac:dyDescent="0.25">
      <c r="A13" s="24">
        <f t="shared" ref="A13:A16" si="6">ROW()-1</f>
        <v>12</v>
      </c>
      <c r="B13" s="25" t="s">
        <v>96</v>
      </c>
      <c r="C13" s="25" t="s">
        <v>97</v>
      </c>
      <c r="D13" s="27" t="s">
        <v>98</v>
      </c>
      <c r="E13" s="25" t="s">
        <v>118</v>
      </c>
      <c r="F13" s="25" t="s">
        <v>119</v>
      </c>
      <c r="G13" s="25" t="s">
        <v>120</v>
      </c>
      <c r="H13" s="25" t="s">
        <v>121</v>
      </c>
      <c r="I13" s="25" t="s">
        <v>122</v>
      </c>
      <c r="J13" s="25" t="s">
        <v>38</v>
      </c>
      <c r="K13" s="25">
        <v>60</v>
      </c>
      <c r="L13" s="25"/>
      <c r="M13" s="25" t="s">
        <v>58</v>
      </c>
      <c r="N13" s="23" t="s">
        <v>55</v>
      </c>
      <c r="O13" s="23" t="s">
        <v>59</v>
      </c>
      <c r="P13" s="23" t="s">
        <v>60</v>
      </c>
      <c r="Q13" s="23">
        <v>3</v>
      </c>
      <c r="R13" s="23" t="s">
        <v>61</v>
      </c>
      <c r="S13" s="23">
        <v>80</v>
      </c>
      <c r="T13" s="23">
        <v>85</v>
      </c>
      <c r="U13" s="23" t="s">
        <v>58</v>
      </c>
      <c r="V13" s="23" t="s">
        <v>62</v>
      </c>
      <c r="W13" s="23"/>
      <c r="X13" s="23" t="e">
        <f>IF(COUNTIF(#REF!,_xlfn.TEXTJOIN(".",,C13,F13,H13)),"是","否")</f>
        <v>#REF!</v>
      </c>
      <c r="Y13" s="23" t="e">
        <f t="shared" ref="Y13:Y16" si="7">IF(AND(O13="底线指标",X13="是"),"是","否")</f>
        <v>#REF!</v>
      </c>
      <c r="Z13" s="23"/>
      <c r="AA13" s="23"/>
      <c r="AB13" s="23"/>
      <c r="AC13" s="23"/>
      <c r="AD13" s="23"/>
      <c r="AE13" s="23"/>
      <c r="AF13" s="23"/>
      <c r="AG13" s="23"/>
      <c r="AH13" s="23"/>
      <c r="AI13" s="23"/>
      <c r="AJ13" s="1" t="str">
        <f t="shared" ref="AJ13:AJ16" si="8">_xlfn.TEXTJOIN(".",TRUE,C13,F13,H13)</f>
        <v>SYS.GAUSSDBV5.gaussdbv5_instance_id,gaussdbv5_node_id,gaussdbv5_component_id.rds010_disk_usage</v>
      </c>
      <c r="AK13" s="1"/>
      <c r="AL13" s="1"/>
    </row>
    <row r="14" spans="1:38" hidden="1" x14ac:dyDescent="0.25">
      <c r="A14" s="24">
        <f t="shared" si="6"/>
        <v>13</v>
      </c>
      <c r="B14" s="25" t="s">
        <v>96</v>
      </c>
      <c r="C14" s="25" t="s">
        <v>97</v>
      </c>
      <c r="D14" s="27" t="s">
        <v>98</v>
      </c>
      <c r="E14" s="25" t="s">
        <v>118</v>
      </c>
      <c r="F14" s="25" t="s">
        <v>119</v>
      </c>
      <c r="G14" s="25" t="s">
        <v>124</v>
      </c>
      <c r="H14" s="25" t="s">
        <v>125</v>
      </c>
      <c r="I14" s="25" t="s">
        <v>126</v>
      </c>
      <c r="J14" s="25" t="s">
        <v>38</v>
      </c>
      <c r="K14" s="25">
        <v>60</v>
      </c>
      <c r="L14" s="25" t="s">
        <v>45</v>
      </c>
      <c r="M14" s="25" t="s">
        <v>58</v>
      </c>
      <c r="N14" s="23" t="s">
        <v>55</v>
      </c>
      <c r="O14" s="23" t="s">
        <v>59</v>
      </c>
      <c r="P14" s="26" t="s">
        <v>60</v>
      </c>
      <c r="Q14" s="26">
        <v>3</v>
      </c>
      <c r="R14" s="26" t="s">
        <v>61</v>
      </c>
      <c r="S14" s="26">
        <v>80</v>
      </c>
      <c r="T14" s="26">
        <v>90</v>
      </c>
      <c r="U14" s="23" t="s">
        <v>58</v>
      </c>
      <c r="V14" s="23" t="s">
        <v>62</v>
      </c>
      <c r="W14" s="23"/>
      <c r="X14" s="23" t="e">
        <f>IF(COUNTIF(#REF!,_xlfn.TEXTJOIN(".",,C14,F14,H14)),"是","否")</f>
        <v>#REF!</v>
      </c>
      <c r="Y14" s="23" t="e">
        <f t="shared" si="7"/>
        <v>#REF!</v>
      </c>
      <c r="Z14" s="23"/>
      <c r="AA14" s="23"/>
      <c r="AB14" s="23"/>
      <c r="AC14" s="23"/>
      <c r="AD14" s="23"/>
      <c r="AE14" s="23"/>
      <c r="AF14" s="23"/>
      <c r="AG14" s="23"/>
      <c r="AH14" s="23"/>
      <c r="AI14" s="23"/>
      <c r="AJ14" s="1" t="str">
        <f t="shared" si="8"/>
        <v>SYS.GAUSSDBV5.gaussdbv5_instance_id,gaussdbv5_node_id,gaussdbv5_component_id.rds055_online_ratio</v>
      </c>
      <c r="AK14" s="1"/>
      <c r="AL14" s="1"/>
    </row>
    <row r="15" spans="1:38" hidden="1" x14ac:dyDescent="0.25">
      <c r="A15" s="24">
        <f t="shared" si="6"/>
        <v>14</v>
      </c>
      <c r="B15" s="25" t="s">
        <v>96</v>
      </c>
      <c r="C15" s="25" t="s">
        <v>97</v>
      </c>
      <c r="D15" s="27" t="s">
        <v>98</v>
      </c>
      <c r="E15" s="25" t="s">
        <v>118</v>
      </c>
      <c r="F15" s="25" t="s">
        <v>119</v>
      </c>
      <c r="G15" s="25" t="s">
        <v>127</v>
      </c>
      <c r="H15" s="25" t="s">
        <v>128</v>
      </c>
      <c r="I15" s="25" t="s">
        <v>129</v>
      </c>
      <c r="J15" s="25" t="s">
        <v>38</v>
      </c>
      <c r="K15" s="25">
        <v>60</v>
      </c>
      <c r="L15" s="25" t="s">
        <v>39</v>
      </c>
      <c r="M15" s="25" t="s">
        <v>58</v>
      </c>
      <c r="N15" s="23" t="s">
        <v>55</v>
      </c>
      <c r="O15" s="23" t="s">
        <v>59</v>
      </c>
      <c r="P15" s="23" t="s">
        <v>60</v>
      </c>
      <c r="Q15" s="23">
        <v>3</v>
      </c>
      <c r="R15" s="23" t="s">
        <v>61</v>
      </c>
      <c r="S15" s="23">
        <v>85</v>
      </c>
      <c r="T15" s="23">
        <v>95</v>
      </c>
      <c r="U15" s="22" t="s">
        <v>58</v>
      </c>
      <c r="V15" s="23" t="s">
        <v>62</v>
      </c>
      <c r="W15" s="23"/>
      <c r="X15" s="23" t="e">
        <f>IF(COUNTIF(#REF!,_xlfn.TEXTJOIN(".",,C15,F15,H15)),"是","否")</f>
        <v>#REF!</v>
      </c>
      <c r="Y15" s="23" t="e">
        <f t="shared" si="7"/>
        <v>#REF!</v>
      </c>
      <c r="Z15" s="23"/>
      <c r="AA15" s="23" t="s">
        <v>55</v>
      </c>
      <c r="AB15" s="23" t="s">
        <v>60</v>
      </c>
      <c r="AC15" s="23">
        <v>3</v>
      </c>
      <c r="AD15" s="23" t="s">
        <v>61</v>
      </c>
      <c r="AE15" s="23">
        <v>85</v>
      </c>
      <c r="AF15" s="23"/>
      <c r="AG15" s="23"/>
      <c r="AH15" s="23" t="s">
        <v>58</v>
      </c>
      <c r="AI15" s="23" t="s">
        <v>62</v>
      </c>
      <c r="AJ15" s="1" t="str">
        <f t="shared" si="8"/>
        <v>SYS.GAUSSDBV5.gaussdbv5_instance_id,gaussdbv5_node_id,gaussdbv5_component_id.rds070_thread_pool</v>
      </c>
      <c r="AK15" s="1"/>
      <c r="AL15" s="1"/>
    </row>
    <row r="16" spans="1:38" hidden="1" x14ac:dyDescent="0.25">
      <c r="A16" s="24">
        <f t="shared" si="6"/>
        <v>15</v>
      </c>
      <c r="B16" s="25" t="s">
        <v>96</v>
      </c>
      <c r="C16" s="25" t="s">
        <v>97</v>
      </c>
      <c r="D16" s="27" t="s">
        <v>98</v>
      </c>
      <c r="E16" s="25" t="s">
        <v>118</v>
      </c>
      <c r="F16" s="25" t="s">
        <v>119</v>
      </c>
      <c r="G16" s="25" t="s">
        <v>130</v>
      </c>
      <c r="H16" s="25" t="s">
        <v>131</v>
      </c>
      <c r="I16" s="25" t="s">
        <v>132</v>
      </c>
      <c r="J16" s="25" t="s">
        <v>38</v>
      </c>
      <c r="K16" s="25">
        <v>60</v>
      </c>
      <c r="L16" s="25" t="s">
        <v>39</v>
      </c>
      <c r="M16" s="25" t="s">
        <v>58</v>
      </c>
      <c r="N16" s="23" t="s">
        <v>55</v>
      </c>
      <c r="O16" s="23" t="s">
        <v>59</v>
      </c>
      <c r="P16" s="23" t="s">
        <v>60</v>
      </c>
      <c r="Q16" s="23">
        <v>3</v>
      </c>
      <c r="R16" s="23" t="s">
        <v>61</v>
      </c>
      <c r="S16" s="23">
        <v>80</v>
      </c>
      <c r="T16" s="23">
        <v>90</v>
      </c>
      <c r="U16" s="23" t="s">
        <v>58</v>
      </c>
      <c r="V16" s="23" t="s">
        <v>62</v>
      </c>
      <c r="W16" s="23"/>
      <c r="X16" s="23" t="e">
        <f>IF(COUNTIF(#REF!,_xlfn.TEXTJOIN(".",,C16,F16,H16)),"是","否")</f>
        <v>#REF!</v>
      </c>
      <c r="Y16" s="23" t="e">
        <f t="shared" si="7"/>
        <v>#REF!</v>
      </c>
      <c r="Z16" s="23"/>
      <c r="AA16" s="23" t="s">
        <v>55</v>
      </c>
      <c r="AB16" s="23" t="s">
        <v>60</v>
      </c>
      <c r="AC16" s="23">
        <v>3</v>
      </c>
      <c r="AD16" s="23" t="s">
        <v>61</v>
      </c>
      <c r="AE16" s="23">
        <v>80</v>
      </c>
      <c r="AF16" s="23"/>
      <c r="AG16" s="23"/>
      <c r="AH16" s="23" t="s">
        <v>58</v>
      </c>
      <c r="AI16" s="23" t="s">
        <v>62</v>
      </c>
      <c r="AJ16" s="1" t="str">
        <f t="shared" si="8"/>
        <v>SYS.GAUSSDBV5.gaussdbv5_instance_id,gaussdbv5_node_id,gaussdbv5_component_id.rds065_dynamic_used_memory_usage</v>
      </c>
      <c r="AK16" s="1"/>
      <c r="AL16" s="1"/>
    </row>
    <row r="17" spans="1:38" hidden="1" x14ac:dyDescent="0.25">
      <c r="A17" s="24">
        <f t="shared" ref="A17:A20" si="9">ROW()-1</f>
        <v>16</v>
      </c>
      <c r="B17" s="25" t="s">
        <v>96</v>
      </c>
      <c r="C17" s="25" t="s">
        <v>97</v>
      </c>
      <c r="D17" s="27" t="s">
        <v>98</v>
      </c>
      <c r="E17" s="25" t="s">
        <v>118</v>
      </c>
      <c r="F17" s="25" t="s">
        <v>119</v>
      </c>
      <c r="G17" s="25" t="s">
        <v>133</v>
      </c>
      <c r="H17" s="25" t="s">
        <v>134</v>
      </c>
      <c r="I17" s="25" t="s">
        <v>135</v>
      </c>
      <c r="J17" s="25" t="s">
        <v>38</v>
      </c>
      <c r="K17" s="25">
        <v>60</v>
      </c>
      <c r="L17" s="25" t="s">
        <v>45</v>
      </c>
      <c r="M17" s="25"/>
      <c r="N17" s="23" t="s">
        <v>55</v>
      </c>
      <c r="O17" s="23" t="s">
        <v>59</v>
      </c>
      <c r="P17" s="26" t="s">
        <v>60</v>
      </c>
      <c r="Q17" s="26">
        <v>3</v>
      </c>
      <c r="R17" s="26" t="s">
        <v>136</v>
      </c>
      <c r="S17" s="26"/>
      <c r="T17" s="26">
        <v>21</v>
      </c>
      <c r="U17" s="22"/>
      <c r="V17" s="23" t="s">
        <v>62</v>
      </c>
      <c r="W17" s="23"/>
      <c r="X17" s="23" t="e">
        <f>IF(COUNTIF(#REF!,_xlfn.TEXTJOIN(".",,C17,F17,H17)),"是","否")</f>
        <v>#REF!</v>
      </c>
      <c r="Y17" s="23" t="e">
        <f t="shared" ref="Y17:Y20" si="10">IF(AND(O17="底线指标",X17="是"),"是","否")</f>
        <v>#REF!</v>
      </c>
      <c r="Z17" s="23"/>
      <c r="AA17" s="23"/>
      <c r="AB17" s="23"/>
      <c r="AC17" s="23"/>
      <c r="AD17" s="23"/>
      <c r="AE17" s="23"/>
      <c r="AF17" s="23"/>
      <c r="AG17" s="23"/>
      <c r="AH17" s="23"/>
      <c r="AI17" s="23"/>
      <c r="AJ17" s="1" t="str">
        <f t="shared" ref="AJ17:AJ20" si="11">_xlfn.TEXTJOIN(".",TRUE,C17,F17,H17)</f>
        <v>SYS.GAUSSDBV5.gaussdbv5_instance_id,gaussdbv5_node_id,gaussdbv5_component_id.rds098_dn_instance_status</v>
      </c>
      <c r="AK17" s="1"/>
      <c r="AL17" s="1"/>
    </row>
    <row r="18" spans="1:38" hidden="1" x14ac:dyDescent="0.25">
      <c r="A18" s="24">
        <f t="shared" si="9"/>
        <v>17</v>
      </c>
      <c r="B18" s="25" t="s">
        <v>143</v>
      </c>
      <c r="C18" s="25" t="s">
        <v>144</v>
      </c>
      <c r="D18" s="25" t="s">
        <v>145</v>
      </c>
      <c r="E18" s="25" t="s">
        <v>146</v>
      </c>
      <c r="F18" s="25" t="s">
        <v>147</v>
      </c>
      <c r="G18" s="25" t="s">
        <v>148</v>
      </c>
      <c r="H18" s="25" t="s">
        <v>149</v>
      </c>
      <c r="I18" s="25" t="s">
        <v>150</v>
      </c>
      <c r="J18" s="25" t="s">
        <v>38</v>
      </c>
      <c r="K18" s="25">
        <v>300</v>
      </c>
      <c r="L18" s="25" t="s">
        <v>39</v>
      </c>
      <c r="M18" s="25" t="s">
        <v>58</v>
      </c>
      <c r="N18" s="23" t="s">
        <v>55</v>
      </c>
      <c r="O18" s="23" t="s">
        <v>59</v>
      </c>
      <c r="P18" s="23" t="s">
        <v>60</v>
      </c>
      <c r="Q18" s="23">
        <v>3</v>
      </c>
      <c r="R18" s="23" t="s">
        <v>61</v>
      </c>
      <c r="S18" s="23">
        <v>85</v>
      </c>
      <c r="T18" s="23">
        <v>95</v>
      </c>
      <c r="U18" s="23" t="s">
        <v>58</v>
      </c>
      <c r="V18" s="23" t="s">
        <v>62</v>
      </c>
      <c r="W18" s="23"/>
      <c r="X18" s="23" t="e">
        <f>IF(COUNTIF(#REF!,_xlfn.TEXTJOIN(".",,C18,F18,H18)),"是","否")</f>
        <v>#REF!</v>
      </c>
      <c r="Y18" s="23" t="e">
        <f t="shared" si="10"/>
        <v>#REF!</v>
      </c>
      <c r="Z18" s="23" t="s">
        <v>55</v>
      </c>
      <c r="AA18" s="27" t="s">
        <v>55</v>
      </c>
      <c r="AB18" s="27" t="s">
        <v>60</v>
      </c>
      <c r="AC18" s="27">
        <v>3</v>
      </c>
      <c r="AD18" s="27" t="s">
        <v>61</v>
      </c>
      <c r="AE18" s="27">
        <v>85</v>
      </c>
      <c r="AF18" s="27">
        <v>95</v>
      </c>
      <c r="AG18" s="27"/>
      <c r="AH18" s="27" t="s">
        <v>58</v>
      </c>
      <c r="AI18" s="27" t="s">
        <v>151</v>
      </c>
      <c r="AJ18" s="1" t="str">
        <f t="shared" si="11"/>
        <v>SYS.CFW.fw_instance_id.protection_bandwidth_usage</v>
      </c>
      <c r="AK18" s="1" t="s">
        <v>152</v>
      </c>
      <c r="AL18" s="1"/>
    </row>
    <row r="19" spans="1:38" hidden="1" x14ac:dyDescent="0.25">
      <c r="A19" s="24">
        <f t="shared" si="9"/>
        <v>18</v>
      </c>
      <c r="B19" s="25" t="s">
        <v>143</v>
      </c>
      <c r="C19" s="25" t="s">
        <v>144</v>
      </c>
      <c r="D19" s="25" t="s">
        <v>145</v>
      </c>
      <c r="E19" s="25" t="s">
        <v>146</v>
      </c>
      <c r="F19" s="25" t="s">
        <v>147</v>
      </c>
      <c r="G19" s="25" t="s">
        <v>153</v>
      </c>
      <c r="H19" s="25" t="s">
        <v>154</v>
      </c>
      <c r="I19" s="25" t="s">
        <v>155</v>
      </c>
      <c r="J19" s="25" t="s">
        <v>38</v>
      </c>
      <c r="K19" s="25">
        <v>60</v>
      </c>
      <c r="L19" s="25" t="s">
        <v>39</v>
      </c>
      <c r="M19" s="25" t="s">
        <v>58</v>
      </c>
      <c r="N19" s="23" t="s">
        <v>55</v>
      </c>
      <c r="O19" s="23" t="s">
        <v>59</v>
      </c>
      <c r="P19" s="23" t="s">
        <v>60</v>
      </c>
      <c r="Q19" s="23">
        <v>3</v>
      </c>
      <c r="R19" s="23" t="s">
        <v>61</v>
      </c>
      <c r="S19" s="23">
        <v>85</v>
      </c>
      <c r="T19" s="23">
        <v>95</v>
      </c>
      <c r="U19" s="23" t="s">
        <v>58</v>
      </c>
      <c r="V19" s="23" t="s">
        <v>62</v>
      </c>
      <c r="W19" s="23"/>
      <c r="X19" s="23" t="e">
        <f>IF(COUNTIF(#REF!,_xlfn.TEXTJOIN(".",,C19,F19,H19)),"是","否")</f>
        <v>#REF!</v>
      </c>
      <c r="Y19" s="23" t="e">
        <f t="shared" si="10"/>
        <v>#REF!</v>
      </c>
      <c r="Z19" s="23" t="s">
        <v>55</v>
      </c>
      <c r="AA19" s="27" t="s">
        <v>55</v>
      </c>
      <c r="AB19" s="27" t="s">
        <v>60</v>
      </c>
      <c r="AC19" s="27">
        <v>3</v>
      </c>
      <c r="AD19" s="27" t="s">
        <v>61</v>
      </c>
      <c r="AE19" s="27">
        <v>85</v>
      </c>
      <c r="AF19" s="27">
        <v>95</v>
      </c>
      <c r="AG19" s="27"/>
      <c r="AH19" s="27" t="s">
        <v>58</v>
      </c>
      <c r="AI19" s="27" t="s">
        <v>151</v>
      </c>
      <c r="AJ19" s="1" t="str">
        <f t="shared" si="11"/>
        <v>SYS.CFW.fw_instance_id.internet_protection_bandwidth_usage_rate</v>
      </c>
      <c r="AK19" s="1" t="s">
        <v>152</v>
      </c>
      <c r="AL19" s="1"/>
    </row>
    <row r="20" spans="1:38" hidden="1" x14ac:dyDescent="0.25">
      <c r="A20" s="24">
        <f t="shared" si="9"/>
        <v>19</v>
      </c>
      <c r="B20" s="25" t="s">
        <v>143</v>
      </c>
      <c r="C20" s="25" t="s">
        <v>144</v>
      </c>
      <c r="D20" s="25" t="s">
        <v>145</v>
      </c>
      <c r="E20" s="25" t="s">
        <v>146</v>
      </c>
      <c r="F20" s="25" t="s">
        <v>147</v>
      </c>
      <c r="G20" s="25" t="s">
        <v>156</v>
      </c>
      <c r="H20" s="25" t="s">
        <v>157</v>
      </c>
      <c r="I20" s="25" t="s">
        <v>158</v>
      </c>
      <c r="J20" s="25" t="s">
        <v>38</v>
      </c>
      <c r="K20" s="25">
        <v>60</v>
      </c>
      <c r="L20" s="25" t="s">
        <v>39</v>
      </c>
      <c r="M20" s="25" t="s">
        <v>58</v>
      </c>
      <c r="N20" s="23" t="s">
        <v>55</v>
      </c>
      <c r="O20" s="23" t="s">
        <v>59</v>
      </c>
      <c r="P20" s="23" t="s">
        <v>60</v>
      </c>
      <c r="Q20" s="23">
        <v>3</v>
      </c>
      <c r="R20" s="23" t="s">
        <v>61</v>
      </c>
      <c r="S20" s="23">
        <v>85</v>
      </c>
      <c r="T20" s="23">
        <v>95</v>
      </c>
      <c r="U20" s="23" t="s">
        <v>58</v>
      </c>
      <c r="V20" s="23" t="s">
        <v>62</v>
      </c>
      <c r="W20" s="23"/>
      <c r="X20" s="23" t="e">
        <f>IF(COUNTIF(#REF!,_xlfn.TEXTJOIN(".",,C20,F20,H20)),"是","否")</f>
        <v>#REF!</v>
      </c>
      <c r="Y20" s="23" t="e">
        <f t="shared" si="10"/>
        <v>#REF!</v>
      </c>
      <c r="Z20" s="23" t="s">
        <v>55</v>
      </c>
      <c r="AA20" s="23"/>
      <c r="AB20" s="23"/>
      <c r="AC20" s="23"/>
      <c r="AD20" s="23"/>
      <c r="AE20" s="23"/>
      <c r="AF20" s="23"/>
      <c r="AG20" s="23"/>
      <c r="AH20" s="23"/>
      <c r="AI20" s="23"/>
      <c r="AJ20" s="1" t="str">
        <f t="shared" si="11"/>
        <v>SYS.CFW.fw_instance_id.vpc_protection_bandwidth_usage_rate</v>
      </c>
      <c r="AK20" s="1" t="s">
        <v>152</v>
      </c>
      <c r="AL20" s="1"/>
    </row>
    <row r="21" spans="1:38" hidden="1" x14ac:dyDescent="0.25">
      <c r="A21" s="24">
        <f t="shared" ref="A21:A22" si="12">ROW()-1</f>
        <v>20</v>
      </c>
      <c r="B21" s="25" t="s">
        <v>159</v>
      </c>
      <c r="C21" s="25" t="s">
        <v>160</v>
      </c>
      <c r="D21" s="27" t="s">
        <v>161</v>
      </c>
      <c r="E21" s="25" t="s">
        <v>162</v>
      </c>
      <c r="F21" s="25" t="s">
        <v>163</v>
      </c>
      <c r="G21" s="25" t="s">
        <v>166</v>
      </c>
      <c r="H21" s="25" t="s">
        <v>167</v>
      </c>
      <c r="I21" s="25" t="s">
        <v>168</v>
      </c>
      <c r="J21" s="25" t="s">
        <v>38</v>
      </c>
      <c r="K21" s="25">
        <v>60</v>
      </c>
      <c r="L21" s="25"/>
      <c r="M21" s="25" t="s">
        <v>58</v>
      </c>
      <c r="N21" s="23" t="s">
        <v>55</v>
      </c>
      <c r="O21" s="23" t="s">
        <v>59</v>
      </c>
      <c r="P21" s="23" t="s">
        <v>60</v>
      </c>
      <c r="Q21" s="23">
        <v>5</v>
      </c>
      <c r="R21" s="23" t="s">
        <v>61</v>
      </c>
      <c r="S21" s="23">
        <v>90</v>
      </c>
      <c r="T21" s="23">
        <v>95</v>
      </c>
      <c r="U21" s="23" t="s">
        <v>58</v>
      </c>
      <c r="V21" s="23" t="s">
        <v>62</v>
      </c>
      <c r="W21" s="23"/>
      <c r="X21" s="23" t="e">
        <f>IF(COUNTIF(#REF!,_xlfn.TEXTJOIN(".",,C21,F21,H21)),"是","否")</f>
        <v>#REF!</v>
      </c>
      <c r="Y21" s="23" t="e">
        <f t="shared" ref="Y21:Y22" si="13">IF(AND(O21="底线指标",X21="是"),"是","否")</f>
        <v>#REF!</v>
      </c>
      <c r="Z21" s="23" t="s">
        <v>55</v>
      </c>
      <c r="AA21" s="27" t="s">
        <v>55</v>
      </c>
      <c r="AB21" s="27" t="s">
        <v>60</v>
      </c>
      <c r="AC21" s="27">
        <v>5</v>
      </c>
      <c r="AD21" s="27" t="s">
        <v>61</v>
      </c>
      <c r="AE21" s="27">
        <v>90</v>
      </c>
      <c r="AF21" s="27">
        <v>95</v>
      </c>
      <c r="AG21" s="27"/>
      <c r="AH21" s="27" t="s">
        <v>58</v>
      </c>
      <c r="AI21" s="27" t="s">
        <v>62</v>
      </c>
      <c r="AJ21" s="1" t="str">
        <f t="shared" ref="AJ21:AJ22" si="14">_xlfn.TEXTJOIN(".",TRUE,C21,F21,H21)</f>
        <v>SYS.EFS.efs_instance_id.used_capacity_percent</v>
      </c>
      <c r="AK21" s="1" t="s">
        <v>152</v>
      </c>
      <c r="AL21" s="1" t="s">
        <v>55</v>
      </c>
    </row>
    <row r="22" spans="1:38" hidden="1" x14ac:dyDescent="0.25">
      <c r="A22" s="24">
        <f t="shared" si="12"/>
        <v>21</v>
      </c>
      <c r="B22" s="25" t="s">
        <v>159</v>
      </c>
      <c r="C22" s="25" t="s">
        <v>160</v>
      </c>
      <c r="D22" s="27" t="s">
        <v>161</v>
      </c>
      <c r="E22" s="25" t="s">
        <v>162</v>
      </c>
      <c r="F22" s="25" t="s">
        <v>163</v>
      </c>
      <c r="G22" s="25" t="s">
        <v>169</v>
      </c>
      <c r="H22" s="25" t="s">
        <v>170</v>
      </c>
      <c r="I22" s="25" t="s">
        <v>171</v>
      </c>
      <c r="J22" s="25" t="s">
        <v>38</v>
      </c>
      <c r="K22" s="25">
        <v>60</v>
      </c>
      <c r="L22" s="25" t="s">
        <v>39</v>
      </c>
      <c r="M22" s="25" t="s">
        <v>58</v>
      </c>
      <c r="N22" s="23" t="s">
        <v>55</v>
      </c>
      <c r="O22" s="23" t="s">
        <v>59</v>
      </c>
      <c r="P22" s="23" t="s">
        <v>60</v>
      </c>
      <c r="Q22" s="23">
        <v>5</v>
      </c>
      <c r="R22" s="23" t="s">
        <v>61</v>
      </c>
      <c r="S22" s="23">
        <v>90</v>
      </c>
      <c r="T22" s="23">
        <v>95</v>
      </c>
      <c r="U22" s="23" t="s">
        <v>58</v>
      </c>
      <c r="V22" s="23" t="s">
        <v>62</v>
      </c>
      <c r="W22" s="23"/>
      <c r="X22" s="23" t="e">
        <f>IF(COUNTIF(#REF!,_xlfn.TEXTJOIN(".",,C22,F22,H22)),"是","否")</f>
        <v>#REF!</v>
      </c>
      <c r="Y22" s="23" t="e">
        <f t="shared" si="13"/>
        <v>#REF!</v>
      </c>
      <c r="Z22" s="23" t="s">
        <v>55</v>
      </c>
      <c r="AA22" s="27" t="s">
        <v>55</v>
      </c>
      <c r="AB22" s="27" t="s">
        <v>60</v>
      </c>
      <c r="AC22" s="27">
        <v>5</v>
      </c>
      <c r="AD22" s="27" t="s">
        <v>61</v>
      </c>
      <c r="AE22" s="27">
        <v>90</v>
      </c>
      <c r="AF22" s="27">
        <v>95</v>
      </c>
      <c r="AG22" s="27"/>
      <c r="AH22" s="27" t="s">
        <v>58</v>
      </c>
      <c r="AI22" s="27" t="s">
        <v>62</v>
      </c>
      <c r="AJ22" s="1" t="str">
        <f t="shared" si="14"/>
        <v>SYS.EFS.efs_instance_id.used_inode_percent</v>
      </c>
      <c r="AK22" s="1" t="s">
        <v>152</v>
      </c>
      <c r="AL22" s="1" t="s">
        <v>55</v>
      </c>
    </row>
    <row r="23" spans="1:38" hidden="1" x14ac:dyDescent="0.25">
      <c r="A23" s="24">
        <f t="shared" ref="A23:A29" si="15">ROW()-1</f>
        <v>22</v>
      </c>
      <c r="B23" s="25" t="s">
        <v>179</v>
      </c>
      <c r="C23" s="25" t="s">
        <v>180</v>
      </c>
      <c r="D23" s="27" t="s">
        <v>181</v>
      </c>
      <c r="E23" s="25" t="s">
        <v>182</v>
      </c>
      <c r="F23" s="25" t="s">
        <v>183</v>
      </c>
      <c r="G23" s="25" t="s">
        <v>72</v>
      </c>
      <c r="H23" s="25" t="s">
        <v>184</v>
      </c>
      <c r="I23" s="25" t="s">
        <v>185</v>
      </c>
      <c r="J23" s="25" t="s">
        <v>38</v>
      </c>
      <c r="K23" s="25">
        <v>60</v>
      </c>
      <c r="L23" s="25"/>
      <c r="M23" s="25" t="s">
        <v>58</v>
      </c>
      <c r="N23" s="23" t="s">
        <v>55</v>
      </c>
      <c r="O23" s="23" t="s">
        <v>59</v>
      </c>
      <c r="P23" s="26" t="s">
        <v>60</v>
      </c>
      <c r="Q23" s="26">
        <v>3</v>
      </c>
      <c r="R23" s="26" t="s">
        <v>61</v>
      </c>
      <c r="S23" s="26">
        <v>80</v>
      </c>
      <c r="T23" s="26">
        <v>90</v>
      </c>
      <c r="U23" s="23" t="s">
        <v>58</v>
      </c>
      <c r="V23" s="23" t="s">
        <v>62</v>
      </c>
      <c r="W23" s="23"/>
      <c r="X23" s="23" t="e">
        <f>IF(COUNTIF(#REF!,_xlfn.TEXTJOIN(".",,C23,F23,H23)),"是","否")</f>
        <v>#REF!</v>
      </c>
      <c r="Y23" s="23" t="e">
        <f t="shared" ref="Y23:Y29" si="16">IF(AND(O23="底线指标",X23="是"),"是","否")</f>
        <v>#REF!</v>
      </c>
      <c r="Z23" s="23"/>
      <c r="AA23" s="23" t="s">
        <v>55</v>
      </c>
      <c r="AB23" s="23" t="s">
        <v>60</v>
      </c>
      <c r="AC23" s="23">
        <v>3</v>
      </c>
      <c r="AD23" s="23" t="s">
        <v>61</v>
      </c>
      <c r="AE23" s="23">
        <v>80</v>
      </c>
      <c r="AF23" s="23"/>
      <c r="AG23" s="23"/>
      <c r="AH23" s="23" t="s">
        <v>58</v>
      </c>
      <c r="AI23" s="23" t="s">
        <v>62</v>
      </c>
      <c r="AJ23" s="1" t="str">
        <f t="shared" ref="AJ23:AJ29" si="17">_xlfn.TEXTJOIN(".",TRUE,C23,F23,H23)</f>
        <v>SYS.NoSQL.cassandra_cluster_id,cassandra_node_id.cassandra001_cpu_usage</v>
      </c>
      <c r="AK23" s="1"/>
      <c r="AL23" s="1"/>
    </row>
    <row r="24" spans="1:38" hidden="1" x14ac:dyDescent="0.25">
      <c r="A24" s="24">
        <f t="shared" si="15"/>
        <v>23</v>
      </c>
      <c r="B24" s="25" t="s">
        <v>179</v>
      </c>
      <c r="C24" s="25" t="s">
        <v>180</v>
      </c>
      <c r="D24" s="27" t="s">
        <v>181</v>
      </c>
      <c r="E24" s="25" t="s">
        <v>182</v>
      </c>
      <c r="F24" s="25" t="s">
        <v>183</v>
      </c>
      <c r="G24" s="25" t="s">
        <v>76</v>
      </c>
      <c r="H24" s="25" t="s">
        <v>186</v>
      </c>
      <c r="I24" s="25" t="s">
        <v>187</v>
      </c>
      <c r="J24" s="25" t="s">
        <v>38</v>
      </c>
      <c r="K24" s="25">
        <v>60</v>
      </c>
      <c r="L24" s="25"/>
      <c r="M24" s="25" t="s">
        <v>58</v>
      </c>
      <c r="N24" s="23" t="s">
        <v>55</v>
      </c>
      <c r="O24" s="23" t="s">
        <v>59</v>
      </c>
      <c r="P24" s="26" t="s">
        <v>60</v>
      </c>
      <c r="Q24" s="26">
        <v>3</v>
      </c>
      <c r="R24" s="26" t="s">
        <v>61</v>
      </c>
      <c r="S24" s="26">
        <v>90</v>
      </c>
      <c r="T24" s="26">
        <v>95</v>
      </c>
      <c r="U24" s="23" t="s">
        <v>58</v>
      </c>
      <c r="V24" s="23" t="s">
        <v>62</v>
      </c>
      <c r="W24" s="23"/>
      <c r="X24" s="23" t="e">
        <f>IF(COUNTIF(#REF!,_xlfn.TEXTJOIN(".",,C24,F24,H24)),"是","否")</f>
        <v>#REF!</v>
      </c>
      <c r="Y24" s="23" t="e">
        <f t="shared" si="16"/>
        <v>#REF!</v>
      </c>
      <c r="Z24" s="23"/>
      <c r="AA24" s="23" t="s">
        <v>55</v>
      </c>
      <c r="AB24" s="23" t="s">
        <v>60</v>
      </c>
      <c r="AC24" s="23">
        <v>3</v>
      </c>
      <c r="AD24" s="23" t="s">
        <v>61</v>
      </c>
      <c r="AE24" s="23">
        <v>90</v>
      </c>
      <c r="AF24" s="23"/>
      <c r="AG24" s="23"/>
      <c r="AH24" s="23" t="s">
        <v>58</v>
      </c>
      <c r="AI24" s="23" t="s">
        <v>62</v>
      </c>
      <c r="AJ24" s="1" t="str">
        <f t="shared" si="17"/>
        <v>SYS.NoSQL.cassandra_cluster_id,cassandra_node_id.cassandra002_mem_usage</v>
      </c>
      <c r="AK24" s="1"/>
      <c r="AL24" s="1"/>
    </row>
    <row r="25" spans="1:38" hidden="1" x14ac:dyDescent="0.25">
      <c r="A25" s="24">
        <f t="shared" si="15"/>
        <v>24</v>
      </c>
      <c r="B25" s="25" t="s">
        <v>179</v>
      </c>
      <c r="C25" s="25" t="s">
        <v>180</v>
      </c>
      <c r="D25" s="27" t="s">
        <v>181</v>
      </c>
      <c r="E25" s="25" t="s">
        <v>182</v>
      </c>
      <c r="F25" s="25" t="s">
        <v>183</v>
      </c>
      <c r="G25" s="25" t="s">
        <v>188</v>
      </c>
      <c r="H25" s="25" t="s">
        <v>189</v>
      </c>
      <c r="I25" s="25" t="s">
        <v>190</v>
      </c>
      <c r="J25" s="25" t="s">
        <v>38</v>
      </c>
      <c r="K25" s="25">
        <v>60</v>
      </c>
      <c r="L25" s="25"/>
      <c r="M25" s="25" t="s">
        <v>139</v>
      </c>
      <c r="N25" s="23" t="s">
        <v>55</v>
      </c>
      <c r="O25" s="23" t="s">
        <v>59</v>
      </c>
      <c r="P25" s="26" t="s">
        <v>60</v>
      </c>
      <c r="Q25" s="26">
        <v>3</v>
      </c>
      <c r="R25" s="26" t="s">
        <v>61</v>
      </c>
      <c r="S25" s="26">
        <v>200</v>
      </c>
      <c r="T25" s="26">
        <v>800</v>
      </c>
      <c r="U25" s="22" t="s">
        <v>139</v>
      </c>
      <c r="V25" s="23" t="s">
        <v>62</v>
      </c>
      <c r="W25" s="23"/>
      <c r="X25" s="23" t="e">
        <f>IF(COUNTIF(#REF!,_xlfn.TEXTJOIN(".",,C25,F25,H25)),"是","否")</f>
        <v>#REF!</v>
      </c>
      <c r="Y25" s="23" t="e">
        <f t="shared" si="16"/>
        <v>#REF!</v>
      </c>
      <c r="Z25" s="23"/>
      <c r="AA25" s="23" t="s">
        <v>55</v>
      </c>
      <c r="AB25" s="23" t="s">
        <v>60</v>
      </c>
      <c r="AC25" s="23">
        <v>3</v>
      </c>
      <c r="AD25" s="23" t="s">
        <v>61</v>
      </c>
      <c r="AE25" s="23">
        <v>200</v>
      </c>
      <c r="AF25" s="23"/>
      <c r="AG25" s="23"/>
      <c r="AH25" s="23" t="s">
        <v>44</v>
      </c>
      <c r="AI25" s="23" t="s">
        <v>62</v>
      </c>
      <c r="AJ25" s="1" t="str">
        <f t="shared" si="17"/>
        <v>SYS.NoSQL.cassandra_cluster_id,cassandra_node_id.cassandra015_read_latency</v>
      </c>
      <c r="AK25" s="1"/>
      <c r="AL25" s="1"/>
    </row>
    <row r="26" spans="1:38" hidden="1" x14ac:dyDescent="0.25">
      <c r="A26" s="24">
        <f t="shared" si="15"/>
        <v>25</v>
      </c>
      <c r="B26" s="25" t="s">
        <v>179</v>
      </c>
      <c r="C26" s="25" t="s">
        <v>180</v>
      </c>
      <c r="D26" s="27" t="s">
        <v>181</v>
      </c>
      <c r="E26" s="25" t="s">
        <v>182</v>
      </c>
      <c r="F26" s="25" t="s">
        <v>183</v>
      </c>
      <c r="G26" s="25" t="s">
        <v>191</v>
      </c>
      <c r="H26" s="25" t="s">
        <v>192</v>
      </c>
      <c r="I26" s="25" t="s">
        <v>193</v>
      </c>
      <c r="J26" s="25" t="s">
        <v>38</v>
      </c>
      <c r="K26" s="25">
        <v>60</v>
      </c>
      <c r="L26" s="25" t="s">
        <v>39</v>
      </c>
      <c r="M26" s="25" t="s">
        <v>58</v>
      </c>
      <c r="N26" s="23" t="s">
        <v>55</v>
      </c>
      <c r="O26" s="23" t="s">
        <v>59</v>
      </c>
      <c r="P26" s="29" t="s">
        <v>60</v>
      </c>
      <c r="Q26" s="29">
        <v>3</v>
      </c>
      <c r="R26" s="29" t="s">
        <v>61</v>
      </c>
      <c r="S26" s="29">
        <v>80</v>
      </c>
      <c r="T26" s="26">
        <v>95</v>
      </c>
      <c r="U26" s="23" t="s">
        <v>58</v>
      </c>
      <c r="V26" s="23" t="s">
        <v>62</v>
      </c>
      <c r="W26" s="23"/>
      <c r="X26" s="23" t="e">
        <f>IF(COUNTIF(#REF!,_xlfn.TEXTJOIN(".",,C26,F26,H26)),"是","否")</f>
        <v>#REF!</v>
      </c>
      <c r="Y26" s="23" t="e">
        <f t="shared" si="16"/>
        <v>#REF!</v>
      </c>
      <c r="Z26" s="23"/>
      <c r="AA26" s="23" t="s">
        <v>55</v>
      </c>
      <c r="AB26" s="23" t="s">
        <v>60</v>
      </c>
      <c r="AC26" s="23">
        <v>3</v>
      </c>
      <c r="AD26" s="23" t="s">
        <v>61</v>
      </c>
      <c r="AE26" s="23">
        <v>80</v>
      </c>
      <c r="AF26" s="23"/>
      <c r="AG26" s="23"/>
      <c r="AH26" s="23" t="s">
        <v>58</v>
      </c>
      <c r="AI26" s="23" t="s">
        <v>62</v>
      </c>
      <c r="AJ26" s="1" t="str">
        <f t="shared" si="17"/>
        <v>SYS.NoSQL.cassandra_cluster_id,cassandra_node_id.nosql005_disk_usage</v>
      </c>
      <c r="AK26" s="1"/>
      <c r="AL26" s="1"/>
    </row>
    <row r="27" spans="1:38" hidden="1" x14ac:dyDescent="0.25">
      <c r="A27" s="24">
        <f t="shared" si="15"/>
        <v>26</v>
      </c>
      <c r="B27" s="25" t="s">
        <v>179</v>
      </c>
      <c r="C27" s="25" t="s">
        <v>180</v>
      </c>
      <c r="D27" s="27" t="s">
        <v>181</v>
      </c>
      <c r="E27" s="25" t="s">
        <v>182</v>
      </c>
      <c r="F27" s="25" t="s">
        <v>183</v>
      </c>
      <c r="G27" s="25" t="s">
        <v>194</v>
      </c>
      <c r="H27" s="25" t="s">
        <v>195</v>
      </c>
      <c r="I27" s="25" t="s">
        <v>196</v>
      </c>
      <c r="J27" s="25" t="s">
        <v>38</v>
      </c>
      <c r="K27" s="25">
        <v>60</v>
      </c>
      <c r="L27" s="25"/>
      <c r="M27" s="25" t="s">
        <v>139</v>
      </c>
      <c r="N27" s="23" t="s">
        <v>55</v>
      </c>
      <c r="O27" s="23" t="s">
        <v>59</v>
      </c>
      <c r="P27" s="26" t="s">
        <v>60</v>
      </c>
      <c r="Q27" s="26">
        <v>3</v>
      </c>
      <c r="R27" s="26" t="s">
        <v>61</v>
      </c>
      <c r="S27" s="26">
        <v>200</v>
      </c>
      <c r="T27" s="26">
        <v>800</v>
      </c>
      <c r="U27" s="22" t="s">
        <v>139</v>
      </c>
      <c r="V27" s="23" t="s">
        <v>62</v>
      </c>
      <c r="W27" s="23"/>
      <c r="X27" s="23" t="e">
        <f>IF(COUNTIF(#REF!,_xlfn.TEXTJOIN(".",,C27,F27,H27)),"是","否")</f>
        <v>#REF!</v>
      </c>
      <c r="Y27" s="23" t="e">
        <f t="shared" si="16"/>
        <v>#REF!</v>
      </c>
      <c r="Z27" s="23"/>
      <c r="AA27" s="23" t="s">
        <v>55</v>
      </c>
      <c r="AB27" s="23" t="s">
        <v>60</v>
      </c>
      <c r="AC27" s="23">
        <v>3</v>
      </c>
      <c r="AD27" s="23" t="s">
        <v>61</v>
      </c>
      <c r="AE27" s="23">
        <v>200</v>
      </c>
      <c r="AF27" s="23"/>
      <c r="AG27" s="23"/>
      <c r="AH27" s="23" t="s">
        <v>44</v>
      </c>
      <c r="AI27" s="23" t="s">
        <v>62</v>
      </c>
      <c r="AJ27" s="1" t="str">
        <f t="shared" si="17"/>
        <v>SYS.NoSQL.cassandra_cluster_id,cassandra_node_id.cassandra016_write_latency</v>
      </c>
      <c r="AK27" s="1"/>
      <c r="AL27" s="1"/>
    </row>
    <row r="28" spans="1:38" hidden="1" x14ac:dyDescent="0.25">
      <c r="A28" s="24">
        <f t="shared" si="15"/>
        <v>27</v>
      </c>
      <c r="B28" s="25" t="s">
        <v>179</v>
      </c>
      <c r="C28" s="25" t="s">
        <v>180</v>
      </c>
      <c r="D28" s="27" t="s">
        <v>181</v>
      </c>
      <c r="E28" s="25" t="s">
        <v>182</v>
      </c>
      <c r="F28" s="25" t="s">
        <v>183</v>
      </c>
      <c r="G28" s="25" t="s">
        <v>197</v>
      </c>
      <c r="H28" s="25" t="s">
        <v>198</v>
      </c>
      <c r="I28" s="25" t="s">
        <v>197</v>
      </c>
      <c r="J28" s="25" t="s">
        <v>38</v>
      </c>
      <c r="K28" s="25">
        <v>60</v>
      </c>
      <c r="L28" s="25"/>
      <c r="M28" s="25" t="s">
        <v>44</v>
      </c>
      <c r="N28" s="23" t="s">
        <v>55</v>
      </c>
      <c r="O28" s="23" t="s">
        <v>59</v>
      </c>
      <c r="P28" s="26" t="s">
        <v>60</v>
      </c>
      <c r="Q28" s="26">
        <v>3</v>
      </c>
      <c r="R28" s="26" t="s">
        <v>61</v>
      </c>
      <c r="S28" s="26">
        <v>1000</v>
      </c>
      <c r="T28" s="26">
        <v>2000</v>
      </c>
      <c r="U28" s="22" t="s">
        <v>44</v>
      </c>
      <c r="V28" s="23" t="s">
        <v>62</v>
      </c>
      <c r="W28" s="23"/>
      <c r="X28" s="23" t="e">
        <f>IF(COUNTIF(#REF!,_xlfn.TEXTJOIN(".",,C28,F28,H28)),"是","否")</f>
        <v>#REF!</v>
      </c>
      <c r="Y28" s="23" t="e">
        <f t="shared" si="16"/>
        <v>#REF!</v>
      </c>
      <c r="Z28" s="23"/>
      <c r="AA28" s="23" t="s">
        <v>55</v>
      </c>
      <c r="AB28" s="23" t="s">
        <v>60</v>
      </c>
      <c r="AC28" s="23">
        <v>3</v>
      </c>
      <c r="AD28" s="23" t="s">
        <v>61</v>
      </c>
      <c r="AE28" s="23">
        <v>800</v>
      </c>
      <c r="AF28" s="23"/>
      <c r="AG28" s="23"/>
      <c r="AH28" s="23" t="s">
        <v>44</v>
      </c>
      <c r="AI28" s="23" t="s">
        <v>62</v>
      </c>
      <c r="AJ28" s="1" t="str">
        <f t="shared" si="17"/>
        <v>SYS.NoSQL.cassandra_cluster_id,cassandra_node_id.cassandra166_write_max_latency</v>
      </c>
      <c r="AK28" s="1"/>
      <c r="AL28" s="1"/>
    </row>
    <row r="29" spans="1:38" hidden="1" x14ac:dyDescent="0.25">
      <c r="A29" s="24">
        <f t="shared" si="15"/>
        <v>28</v>
      </c>
      <c r="B29" s="25" t="s">
        <v>179</v>
      </c>
      <c r="C29" s="25" t="s">
        <v>180</v>
      </c>
      <c r="D29" s="27" t="s">
        <v>181</v>
      </c>
      <c r="E29" s="25" t="s">
        <v>182</v>
      </c>
      <c r="F29" s="25" t="s">
        <v>183</v>
      </c>
      <c r="G29" s="25" t="s">
        <v>199</v>
      </c>
      <c r="H29" s="25" t="s">
        <v>200</v>
      </c>
      <c r="I29" s="25" t="s">
        <v>199</v>
      </c>
      <c r="J29" s="25" t="s">
        <v>38</v>
      </c>
      <c r="K29" s="25">
        <v>60</v>
      </c>
      <c r="L29" s="25"/>
      <c r="M29" s="25" t="s">
        <v>44</v>
      </c>
      <c r="N29" s="23" t="s">
        <v>55</v>
      </c>
      <c r="O29" s="23" t="s">
        <v>59</v>
      </c>
      <c r="P29" s="26" t="s">
        <v>60</v>
      </c>
      <c r="Q29" s="26">
        <v>3</v>
      </c>
      <c r="R29" s="26" t="s">
        <v>61</v>
      </c>
      <c r="S29" s="26">
        <v>1000</v>
      </c>
      <c r="T29" s="26">
        <v>2000</v>
      </c>
      <c r="U29" s="22" t="s">
        <v>44</v>
      </c>
      <c r="V29" s="23" t="s">
        <v>62</v>
      </c>
      <c r="W29" s="23"/>
      <c r="X29" s="23" t="e">
        <f>IF(COUNTIF(#REF!,_xlfn.TEXTJOIN(".",,C29,F29,H29)),"是","否")</f>
        <v>#REF!</v>
      </c>
      <c r="Y29" s="23" t="e">
        <f t="shared" si="16"/>
        <v>#REF!</v>
      </c>
      <c r="Z29" s="23"/>
      <c r="AA29" s="23" t="s">
        <v>55</v>
      </c>
      <c r="AB29" s="23" t="s">
        <v>60</v>
      </c>
      <c r="AC29" s="23">
        <v>3</v>
      </c>
      <c r="AD29" s="23" t="s">
        <v>61</v>
      </c>
      <c r="AE29" s="23">
        <v>800</v>
      </c>
      <c r="AF29" s="23"/>
      <c r="AG29" s="23"/>
      <c r="AH29" s="23" t="s">
        <v>44</v>
      </c>
      <c r="AI29" s="23" t="s">
        <v>62</v>
      </c>
      <c r="AJ29" s="1" t="str">
        <f t="shared" si="17"/>
        <v>SYS.NoSQL.cassandra_cluster_id,cassandra_node_id.cassandra167_read_max_latency</v>
      </c>
      <c r="AK29" s="1"/>
      <c r="AL29" s="1"/>
    </row>
    <row r="30" spans="1:38" hidden="1" x14ac:dyDescent="0.25">
      <c r="A30" s="24">
        <f t="shared" ref="A30:A37" si="18">ROW()-1</f>
        <v>29</v>
      </c>
      <c r="B30" s="25" t="s">
        <v>179</v>
      </c>
      <c r="C30" s="25" t="s">
        <v>180</v>
      </c>
      <c r="D30" s="27" t="s">
        <v>181</v>
      </c>
      <c r="E30" s="25" t="s">
        <v>207</v>
      </c>
      <c r="F30" s="25" t="s">
        <v>208</v>
      </c>
      <c r="G30" s="25" t="s">
        <v>201</v>
      </c>
      <c r="H30" s="25" t="s">
        <v>209</v>
      </c>
      <c r="I30" s="25" t="s">
        <v>210</v>
      </c>
      <c r="J30" s="25" t="s">
        <v>38</v>
      </c>
      <c r="K30" s="25">
        <v>60</v>
      </c>
      <c r="L30" s="25"/>
      <c r="M30" s="25" t="s">
        <v>58</v>
      </c>
      <c r="N30" s="23" t="s">
        <v>55</v>
      </c>
      <c r="O30" s="23" t="s">
        <v>59</v>
      </c>
      <c r="P30" s="26" t="s">
        <v>60</v>
      </c>
      <c r="Q30" s="26">
        <v>3</v>
      </c>
      <c r="R30" s="26" t="s">
        <v>61</v>
      </c>
      <c r="S30" s="26">
        <v>80</v>
      </c>
      <c r="T30" s="26">
        <v>90</v>
      </c>
      <c r="U30" s="23" t="s">
        <v>58</v>
      </c>
      <c r="V30" s="23" t="s">
        <v>62</v>
      </c>
      <c r="W30" s="23"/>
      <c r="X30" s="23" t="e">
        <f>IF(COUNTIF(#REF!,_xlfn.TEXTJOIN(".",,C30,F30,H30)),"是","否")</f>
        <v>#REF!</v>
      </c>
      <c r="Y30" s="23" t="e">
        <f t="shared" ref="Y30:Y37" si="19">IF(AND(O30="底线指标",X30="是"),"是","否")</f>
        <v>#REF!</v>
      </c>
      <c r="Z30" s="23"/>
      <c r="AA30" s="23" t="s">
        <v>55</v>
      </c>
      <c r="AB30" s="23" t="s">
        <v>60</v>
      </c>
      <c r="AC30" s="23">
        <v>3</v>
      </c>
      <c r="AD30" s="23" t="s">
        <v>61</v>
      </c>
      <c r="AE30" s="23">
        <v>80</v>
      </c>
      <c r="AF30" s="23"/>
      <c r="AG30" s="23"/>
      <c r="AH30" s="23" t="s">
        <v>58</v>
      </c>
      <c r="AI30" s="23" t="s">
        <v>62</v>
      </c>
      <c r="AJ30" s="1" t="str">
        <f t="shared" ref="AJ30:AJ37" si="20">_xlfn.TEXTJOIN(".",TRUE,C30,F30,H30)</f>
        <v>SYS.NoSQL.influxdb_cluster_id,influxdb_node_id.gemini001_cpu_usage</v>
      </c>
      <c r="AK30" s="1"/>
      <c r="AL30" s="1"/>
    </row>
    <row r="31" spans="1:38" hidden="1" x14ac:dyDescent="0.25">
      <c r="A31" s="24">
        <f t="shared" si="18"/>
        <v>30</v>
      </c>
      <c r="B31" s="25" t="s">
        <v>179</v>
      </c>
      <c r="C31" s="25" t="s">
        <v>180</v>
      </c>
      <c r="D31" s="27" t="s">
        <v>181</v>
      </c>
      <c r="E31" s="25" t="s">
        <v>207</v>
      </c>
      <c r="F31" s="25" t="s">
        <v>208</v>
      </c>
      <c r="G31" s="25" t="s">
        <v>204</v>
      </c>
      <c r="H31" s="25" t="s">
        <v>211</v>
      </c>
      <c r="I31" s="25" t="s">
        <v>212</v>
      </c>
      <c r="J31" s="25" t="s">
        <v>38</v>
      </c>
      <c r="K31" s="25">
        <v>60</v>
      </c>
      <c r="L31" s="25"/>
      <c r="M31" s="25" t="s">
        <v>58</v>
      </c>
      <c r="N31" s="23" t="s">
        <v>55</v>
      </c>
      <c r="O31" s="23" t="s">
        <v>59</v>
      </c>
      <c r="P31" s="26" t="s">
        <v>60</v>
      </c>
      <c r="Q31" s="26">
        <v>3</v>
      </c>
      <c r="R31" s="26" t="s">
        <v>61</v>
      </c>
      <c r="S31" s="26">
        <v>90</v>
      </c>
      <c r="T31" s="26">
        <v>95</v>
      </c>
      <c r="U31" s="23" t="s">
        <v>58</v>
      </c>
      <c r="V31" s="23" t="s">
        <v>62</v>
      </c>
      <c r="W31" s="23"/>
      <c r="X31" s="23" t="e">
        <f>IF(COUNTIF(#REF!,_xlfn.TEXTJOIN(".",,C31,F31,H31)),"是","否")</f>
        <v>#REF!</v>
      </c>
      <c r="Y31" s="23" t="e">
        <f t="shared" si="19"/>
        <v>#REF!</v>
      </c>
      <c r="Z31" s="23"/>
      <c r="AA31" s="23" t="s">
        <v>55</v>
      </c>
      <c r="AB31" s="23" t="s">
        <v>60</v>
      </c>
      <c r="AC31" s="23">
        <v>3</v>
      </c>
      <c r="AD31" s="23" t="s">
        <v>61</v>
      </c>
      <c r="AE31" s="23">
        <v>90</v>
      </c>
      <c r="AF31" s="23"/>
      <c r="AG31" s="23"/>
      <c r="AH31" s="23" t="s">
        <v>58</v>
      </c>
      <c r="AI31" s="23" t="s">
        <v>62</v>
      </c>
      <c r="AJ31" s="1" t="str">
        <f t="shared" si="20"/>
        <v>SYS.NoSQL.influxdb_cluster_id,influxdb_node_id.gemini002_mem_usage</v>
      </c>
      <c r="AK31" s="1"/>
      <c r="AL31" s="1"/>
    </row>
    <row r="32" spans="1:38" hidden="1" x14ac:dyDescent="0.25">
      <c r="A32" s="24">
        <f t="shared" si="18"/>
        <v>31</v>
      </c>
      <c r="B32" s="25" t="s">
        <v>179</v>
      </c>
      <c r="C32" s="25" t="s">
        <v>180</v>
      </c>
      <c r="D32" s="27" t="s">
        <v>181</v>
      </c>
      <c r="E32" s="25" t="s">
        <v>207</v>
      </c>
      <c r="F32" s="25" t="s">
        <v>208</v>
      </c>
      <c r="G32" s="25" t="s">
        <v>191</v>
      </c>
      <c r="H32" s="25" t="s">
        <v>192</v>
      </c>
      <c r="I32" s="25" t="s">
        <v>193</v>
      </c>
      <c r="J32" s="25" t="s">
        <v>38</v>
      </c>
      <c r="K32" s="25">
        <v>60</v>
      </c>
      <c r="L32" s="25" t="s">
        <v>39</v>
      </c>
      <c r="M32" s="25" t="s">
        <v>58</v>
      </c>
      <c r="N32" s="23" t="s">
        <v>55</v>
      </c>
      <c r="O32" s="23" t="s">
        <v>59</v>
      </c>
      <c r="P32" s="26" t="s">
        <v>60</v>
      </c>
      <c r="Q32" s="26">
        <v>1</v>
      </c>
      <c r="R32" s="26" t="s">
        <v>61</v>
      </c>
      <c r="S32" s="30">
        <v>80</v>
      </c>
      <c r="T32" s="30">
        <v>90</v>
      </c>
      <c r="U32" s="23" t="s">
        <v>58</v>
      </c>
      <c r="V32" s="23" t="s">
        <v>62</v>
      </c>
      <c r="W32" s="23"/>
      <c r="X32" s="23" t="e">
        <f>IF(COUNTIF(#REF!,_xlfn.TEXTJOIN(".",,C32,F32,H32)),"是","否")</f>
        <v>#REF!</v>
      </c>
      <c r="Y32" s="23" t="e">
        <f t="shared" si="19"/>
        <v>#REF!</v>
      </c>
      <c r="Z32" s="23"/>
      <c r="AA32" s="23" t="s">
        <v>55</v>
      </c>
      <c r="AB32" s="23" t="s">
        <v>60</v>
      </c>
      <c r="AC32" s="23">
        <v>3</v>
      </c>
      <c r="AD32" s="23" t="s">
        <v>61</v>
      </c>
      <c r="AE32" s="23">
        <v>80</v>
      </c>
      <c r="AF32" s="23"/>
      <c r="AG32" s="23"/>
      <c r="AH32" s="23" t="s">
        <v>58</v>
      </c>
      <c r="AI32" s="23" t="s">
        <v>62</v>
      </c>
      <c r="AJ32" s="1" t="str">
        <f t="shared" si="20"/>
        <v>SYS.NoSQL.influxdb_cluster_id,influxdb_node_id.nosql005_disk_usage</v>
      </c>
      <c r="AK32" s="1"/>
      <c r="AL32" s="1"/>
    </row>
    <row r="33" spans="1:38" hidden="1" x14ac:dyDescent="0.25">
      <c r="A33" s="24">
        <f t="shared" si="18"/>
        <v>32</v>
      </c>
      <c r="B33" s="25" t="s">
        <v>179</v>
      </c>
      <c r="C33" s="25" t="s">
        <v>180</v>
      </c>
      <c r="D33" s="27" t="s">
        <v>181</v>
      </c>
      <c r="E33" s="25" t="s">
        <v>207</v>
      </c>
      <c r="F33" s="25" t="s">
        <v>208</v>
      </c>
      <c r="G33" s="25" t="s">
        <v>213</v>
      </c>
      <c r="H33" s="25" t="s">
        <v>214</v>
      </c>
      <c r="I33" s="25" t="s">
        <v>215</v>
      </c>
      <c r="J33" s="25" t="s">
        <v>38</v>
      </c>
      <c r="K33" s="25">
        <v>60</v>
      </c>
      <c r="L33" s="25" t="s">
        <v>39</v>
      </c>
      <c r="M33" s="25" t="s">
        <v>58</v>
      </c>
      <c r="N33" s="23" t="s">
        <v>55</v>
      </c>
      <c r="O33" s="23" t="s">
        <v>59</v>
      </c>
      <c r="P33" s="23" t="s">
        <v>60</v>
      </c>
      <c r="Q33" s="23">
        <v>3</v>
      </c>
      <c r="R33" s="23" t="s">
        <v>61</v>
      </c>
      <c r="S33" s="23">
        <v>80</v>
      </c>
      <c r="T33" s="23">
        <v>90</v>
      </c>
      <c r="U33" s="23" t="s">
        <v>58</v>
      </c>
      <c r="V33" s="23" t="s">
        <v>62</v>
      </c>
      <c r="W33" s="23"/>
      <c r="X33" s="23" t="e">
        <f>IF(COUNTIF(#REF!,_xlfn.TEXTJOIN(".",,C33,F33,H33)),"是","否")</f>
        <v>#REF!</v>
      </c>
      <c r="Y33" s="23" t="e">
        <f t="shared" si="19"/>
        <v>#REF!</v>
      </c>
      <c r="Z33" s="23"/>
      <c r="AA33" s="23"/>
      <c r="AB33" s="23"/>
      <c r="AC33" s="23"/>
      <c r="AD33" s="23"/>
      <c r="AE33" s="23"/>
      <c r="AF33" s="23"/>
      <c r="AG33" s="23"/>
      <c r="AH33" s="23"/>
      <c r="AI33" s="23"/>
      <c r="AJ33" s="1" t="str">
        <f t="shared" si="20"/>
        <v>SYS.NoSQL.influxdb_cluster_id,influxdb_node_id.influxdb008_connection_usage</v>
      </c>
      <c r="AK33" s="1"/>
      <c r="AL33" s="1"/>
    </row>
    <row r="34" spans="1:38" hidden="1" x14ac:dyDescent="0.25">
      <c r="A34" s="24">
        <f t="shared" si="18"/>
        <v>33</v>
      </c>
      <c r="B34" s="25" t="s">
        <v>179</v>
      </c>
      <c r="C34" s="25" t="s">
        <v>180</v>
      </c>
      <c r="D34" s="27" t="s">
        <v>181</v>
      </c>
      <c r="E34" s="25" t="s">
        <v>207</v>
      </c>
      <c r="F34" s="25" t="s">
        <v>208</v>
      </c>
      <c r="G34" s="25" t="s">
        <v>216</v>
      </c>
      <c r="H34" s="25" t="s">
        <v>217</v>
      </c>
      <c r="I34" s="25" t="s">
        <v>218</v>
      </c>
      <c r="J34" s="25" t="s">
        <v>38</v>
      </c>
      <c r="K34" s="25">
        <v>60</v>
      </c>
      <c r="L34" s="25" t="s">
        <v>39</v>
      </c>
      <c r="M34" s="25" t="s">
        <v>58</v>
      </c>
      <c r="N34" s="23" t="s">
        <v>55</v>
      </c>
      <c r="O34" s="23" t="s">
        <v>59</v>
      </c>
      <c r="P34" s="26" t="s">
        <v>60</v>
      </c>
      <c r="Q34" s="26">
        <v>1</v>
      </c>
      <c r="R34" s="26" t="s">
        <v>61</v>
      </c>
      <c r="S34" s="30">
        <v>85</v>
      </c>
      <c r="T34" s="30">
        <v>90</v>
      </c>
      <c r="U34" s="23" t="s">
        <v>58</v>
      </c>
      <c r="V34" s="23" t="s">
        <v>62</v>
      </c>
      <c r="W34" s="23"/>
      <c r="X34" s="23" t="e">
        <f>IF(COUNTIF(#REF!,_xlfn.TEXTJOIN(".",,C34,F34,H34)),"是","否")</f>
        <v>#REF!</v>
      </c>
      <c r="Y34" s="23" t="e">
        <f t="shared" si="19"/>
        <v>#REF!</v>
      </c>
      <c r="Z34" s="23"/>
      <c r="AA34" s="23"/>
      <c r="AB34" s="23"/>
      <c r="AC34" s="23"/>
      <c r="AD34" s="23"/>
      <c r="AE34" s="23"/>
      <c r="AF34" s="23"/>
      <c r="AG34" s="23"/>
      <c r="AH34" s="23"/>
      <c r="AI34" s="23"/>
      <c r="AJ34" s="1" t="str">
        <f t="shared" si="20"/>
        <v>SYS.NoSQL.influxdb_cluster_id,influxdb_node_id.influxdb010_cold_disk_usage</v>
      </c>
      <c r="AK34" s="1"/>
      <c r="AL34" s="1"/>
    </row>
    <row r="35" spans="1:38" hidden="1" x14ac:dyDescent="0.25">
      <c r="A35" s="24">
        <f t="shared" si="18"/>
        <v>34</v>
      </c>
      <c r="B35" s="25" t="s">
        <v>179</v>
      </c>
      <c r="C35" s="25" t="s">
        <v>180</v>
      </c>
      <c r="D35" s="27" t="s">
        <v>181</v>
      </c>
      <c r="E35" s="25" t="s">
        <v>219</v>
      </c>
      <c r="F35" s="25" t="s">
        <v>220</v>
      </c>
      <c r="G35" s="25" t="s">
        <v>201</v>
      </c>
      <c r="H35" s="25" t="s">
        <v>202</v>
      </c>
      <c r="I35" s="25" t="s">
        <v>203</v>
      </c>
      <c r="J35" s="25" t="s">
        <v>38</v>
      </c>
      <c r="K35" s="25">
        <v>60</v>
      </c>
      <c r="L35" s="25"/>
      <c r="M35" s="25" t="s">
        <v>58</v>
      </c>
      <c r="N35" s="23" t="s">
        <v>55</v>
      </c>
      <c r="O35" s="23" t="s">
        <v>59</v>
      </c>
      <c r="P35" s="26" t="s">
        <v>60</v>
      </c>
      <c r="Q35" s="26">
        <v>3</v>
      </c>
      <c r="R35" s="26" t="s">
        <v>61</v>
      </c>
      <c r="S35" s="26">
        <v>80</v>
      </c>
      <c r="T35" s="26">
        <v>95</v>
      </c>
      <c r="U35" s="23" t="s">
        <v>58</v>
      </c>
      <c r="V35" s="23" t="s">
        <v>62</v>
      </c>
      <c r="W35" s="23"/>
      <c r="X35" s="23" t="e">
        <f>IF(COUNTIF(#REF!,_xlfn.TEXTJOIN(".",,C35,F35,H35)),"是","否")</f>
        <v>#REF!</v>
      </c>
      <c r="Y35" s="23" t="e">
        <f t="shared" si="19"/>
        <v>#REF!</v>
      </c>
      <c r="Z35" s="23"/>
      <c r="AA35" s="23" t="s">
        <v>55</v>
      </c>
      <c r="AB35" s="23" t="s">
        <v>60</v>
      </c>
      <c r="AC35" s="23">
        <v>3</v>
      </c>
      <c r="AD35" s="23" t="s">
        <v>61</v>
      </c>
      <c r="AE35" s="23">
        <v>80</v>
      </c>
      <c r="AF35" s="23"/>
      <c r="AG35" s="23"/>
      <c r="AH35" s="23" t="s">
        <v>58</v>
      </c>
      <c r="AI35" s="23" t="s">
        <v>62</v>
      </c>
      <c r="AJ35" s="1" t="str">
        <f t="shared" si="20"/>
        <v>SYS.NoSQL.mongodb_cluster_id,mongodb_node_id.nosql001_cpu_usage</v>
      </c>
      <c r="AK35" s="1"/>
      <c r="AL35" s="1"/>
    </row>
    <row r="36" spans="1:38" hidden="1" x14ac:dyDescent="0.25">
      <c r="A36" s="24">
        <f t="shared" si="18"/>
        <v>35</v>
      </c>
      <c r="B36" s="25" t="s">
        <v>179</v>
      </c>
      <c r="C36" s="25" t="s">
        <v>180</v>
      </c>
      <c r="D36" s="27" t="s">
        <v>181</v>
      </c>
      <c r="E36" s="25" t="s">
        <v>219</v>
      </c>
      <c r="F36" s="25" t="s">
        <v>220</v>
      </c>
      <c r="G36" s="25" t="s">
        <v>204</v>
      </c>
      <c r="H36" s="25" t="s">
        <v>205</v>
      </c>
      <c r="I36" s="25" t="s">
        <v>206</v>
      </c>
      <c r="J36" s="25" t="s">
        <v>38</v>
      </c>
      <c r="K36" s="25">
        <v>60</v>
      </c>
      <c r="L36" s="25"/>
      <c r="M36" s="25" t="s">
        <v>58</v>
      </c>
      <c r="N36" s="23" t="s">
        <v>55</v>
      </c>
      <c r="O36" s="23" t="s">
        <v>59</v>
      </c>
      <c r="P36" s="26" t="s">
        <v>60</v>
      </c>
      <c r="Q36" s="26">
        <v>3</v>
      </c>
      <c r="R36" s="26" t="s">
        <v>61</v>
      </c>
      <c r="S36" s="26">
        <v>80</v>
      </c>
      <c r="T36" s="26">
        <v>95</v>
      </c>
      <c r="U36" s="23" t="s">
        <v>58</v>
      </c>
      <c r="V36" s="23" t="s">
        <v>62</v>
      </c>
      <c r="W36" s="23"/>
      <c r="X36" s="23" t="e">
        <f>IF(COUNTIF(#REF!,_xlfn.TEXTJOIN(".",,C36,F36,H36)),"是","否")</f>
        <v>#REF!</v>
      </c>
      <c r="Y36" s="23" t="e">
        <f t="shared" si="19"/>
        <v>#REF!</v>
      </c>
      <c r="Z36" s="23"/>
      <c r="AA36" s="23" t="s">
        <v>55</v>
      </c>
      <c r="AB36" s="23" t="s">
        <v>60</v>
      </c>
      <c r="AC36" s="23">
        <v>3</v>
      </c>
      <c r="AD36" s="23" t="s">
        <v>61</v>
      </c>
      <c r="AE36" s="23">
        <v>90</v>
      </c>
      <c r="AF36" s="23"/>
      <c r="AG36" s="23"/>
      <c r="AH36" s="23" t="s">
        <v>58</v>
      </c>
      <c r="AI36" s="23" t="s">
        <v>62</v>
      </c>
      <c r="AJ36" s="1" t="str">
        <f t="shared" si="20"/>
        <v>SYS.NoSQL.mongodb_cluster_id,mongodb_node_id.nosql002_mem_usage</v>
      </c>
      <c r="AK36" s="1"/>
      <c r="AL36" s="1"/>
    </row>
    <row r="37" spans="1:38" hidden="1" x14ac:dyDescent="0.25">
      <c r="A37" s="24">
        <f t="shared" si="18"/>
        <v>36</v>
      </c>
      <c r="B37" s="25" t="s">
        <v>179</v>
      </c>
      <c r="C37" s="25" t="s">
        <v>180</v>
      </c>
      <c r="D37" s="27" t="s">
        <v>181</v>
      </c>
      <c r="E37" s="25" t="s">
        <v>219</v>
      </c>
      <c r="F37" s="25" t="s">
        <v>220</v>
      </c>
      <c r="G37" s="25" t="s">
        <v>191</v>
      </c>
      <c r="H37" s="25" t="s">
        <v>192</v>
      </c>
      <c r="I37" s="25" t="s">
        <v>193</v>
      </c>
      <c r="J37" s="25" t="s">
        <v>38</v>
      </c>
      <c r="K37" s="25">
        <v>60</v>
      </c>
      <c r="L37" s="25"/>
      <c r="M37" s="25" t="s">
        <v>58</v>
      </c>
      <c r="N37" s="23" t="s">
        <v>55</v>
      </c>
      <c r="O37" s="23" t="s">
        <v>59</v>
      </c>
      <c r="P37" s="26" t="s">
        <v>60</v>
      </c>
      <c r="Q37" s="26">
        <v>3</v>
      </c>
      <c r="R37" s="26" t="s">
        <v>61</v>
      </c>
      <c r="S37" s="26">
        <v>80</v>
      </c>
      <c r="T37" s="26">
        <v>95</v>
      </c>
      <c r="U37" s="23" t="s">
        <v>58</v>
      </c>
      <c r="V37" s="23" t="s">
        <v>62</v>
      </c>
      <c r="W37" s="23"/>
      <c r="X37" s="23" t="e">
        <f>IF(COUNTIF(#REF!,_xlfn.TEXTJOIN(".",,C37,F37,H37)),"是","否")</f>
        <v>#REF!</v>
      </c>
      <c r="Y37" s="23" t="e">
        <f t="shared" si="19"/>
        <v>#REF!</v>
      </c>
      <c r="Z37" s="23"/>
      <c r="AA37" s="23" t="s">
        <v>55</v>
      </c>
      <c r="AB37" s="23" t="s">
        <v>60</v>
      </c>
      <c r="AC37" s="23">
        <v>3</v>
      </c>
      <c r="AD37" s="23" t="s">
        <v>61</v>
      </c>
      <c r="AE37" s="23">
        <v>80</v>
      </c>
      <c r="AF37" s="23"/>
      <c r="AG37" s="23"/>
      <c r="AH37" s="23" t="s">
        <v>58</v>
      </c>
      <c r="AI37" s="23" t="s">
        <v>62</v>
      </c>
      <c r="AJ37" s="1" t="str">
        <f t="shared" si="20"/>
        <v>SYS.NoSQL.mongodb_cluster_id,mongodb_node_id.nosql005_disk_usage</v>
      </c>
      <c r="AK37" s="1"/>
      <c r="AL37" s="1"/>
    </row>
    <row r="38" spans="1:38" hidden="1" x14ac:dyDescent="0.25">
      <c r="A38" s="24">
        <f t="shared" ref="A38:A49" si="21">ROW()-1</f>
        <v>37</v>
      </c>
      <c r="B38" s="25" t="s">
        <v>179</v>
      </c>
      <c r="C38" s="25" t="s">
        <v>180</v>
      </c>
      <c r="D38" s="27" t="s">
        <v>181</v>
      </c>
      <c r="E38" s="25" t="s">
        <v>219</v>
      </c>
      <c r="F38" s="25" t="s">
        <v>220</v>
      </c>
      <c r="G38" s="25" t="s">
        <v>221</v>
      </c>
      <c r="H38" s="25" t="s">
        <v>222</v>
      </c>
      <c r="I38" s="25" t="s">
        <v>223</v>
      </c>
      <c r="J38" s="25" t="s">
        <v>38</v>
      </c>
      <c r="K38" s="25">
        <v>60</v>
      </c>
      <c r="L38" s="25"/>
      <c r="M38" s="25" t="s">
        <v>58</v>
      </c>
      <c r="N38" s="23" t="s">
        <v>55</v>
      </c>
      <c r="O38" s="23" t="s">
        <v>59</v>
      </c>
      <c r="P38" s="23" t="s">
        <v>60</v>
      </c>
      <c r="Q38" s="23">
        <v>3</v>
      </c>
      <c r="R38" s="23" t="s">
        <v>61</v>
      </c>
      <c r="S38" s="23">
        <v>80</v>
      </c>
      <c r="T38" s="23">
        <v>95</v>
      </c>
      <c r="U38" s="23" t="s">
        <v>58</v>
      </c>
      <c r="V38" s="23" t="s">
        <v>62</v>
      </c>
      <c r="W38" s="23"/>
      <c r="X38" s="23" t="e">
        <f>IF(COUNTIF(#REF!,_xlfn.TEXTJOIN(".",,C38,F38,H38)),"是","否")</f>
        <v>#REF!</v>
      </c>
      <c r="Y38" s="23" t="e">
        <f t="shared" ref="Y38:Y49" si="22">IF(AND(O38="底线指标",X38="是"),"是","否")</f>
        <v>#REF!</v>
      </c>
      <c r="Z38" s="23"/>
      <c r="AA38" s="23" t="s">
        <v>55</v>
      </c>
      <c r="AB38" s="23" t="s">
        <v>60</v>
      </c>
      <c r="AC38" s="23">
        <v>3</v>
      </c>
      <c r="AD38" s="23" t="s">
        <v>61</v>
      </c>
      <c r="AE38" s="23">
        <v>80</v>
      </c>
      <c r="AF38" s="23"/>
      <c r="AG38" s="23"/>
      <c r="AH38" s="23" t="s">
        <v>58</v>
      </c>
      <c r="AI38" s="23" t="s">
        <v>62</v>
      </c>
      <c r="AJ38" s="1" t="str">
        <f t="shared" ref="AJ38:AJ49" si="23">_xlfn.TEXTJOIN(".",TRUE,C38,F38,H38)</f>
        <v>SYS.NoSQL.mongodb_cluster_id,mongodb_node_id.mongodb007_connections_usage</v>
      </c>
      <c r="AK38" s="1"/>
      <c r="AL38" s="1"/>
    </row>
    <row r="39" spans="1:38" hidden="1" x14ac:dyDescent="0.25">
      <c r="A39" s="24">
        <f t="shared" si="21"/>
        <v>38</v>
      </c>
      <c r="B39" s="25" t="s">
        <v>179</v>
      </c>
      <c r="C39" s="25" t="s">
        <v>180</v>
      </c>
      <c r="D39" s="27" t="s">
        <v>181</v>
      </c>
      <c r="E39" s="25" t="s">
        <v>227</v>
      </c>
      <c r="F39" s="25" t="s">
        <v>228</v>
      </c>
      <c r="G39" s="25" t="s">
        <v>229</v>
      </c>
      <c r="H39" s="25" t="s">
        <v>230</v>
      </c>
      <c r="I39" s="22" t="s">
        <v>231</v>
      </c>
      <c r="J39" s="22" t="s">
        <v>38</v>
      </c>
      <c r="K39" s="22">
        <v>60</v>
      </c>
      <c r="L39" s="22" t="s">
        <v>39</v>
      </c>
      <c r="M39" s="22" t="s">
        <v>232</v>
      </c>
      <c r="N39" s="23" t="s">
        <v>55</v>
      </c>
      <c r="O39" s="23" t="s">
        <v>59</v>
      </c>
      <c r="P39" s="23" t="s">
        <v>60</v>
      </c>
      <c r="Q39" s="23">
        <v>3</v>
      </c>
      <c r="R39" s="23" t="s">
        <v>61</v>
      </c>
      <c r="S39" s="23">
        <v>834</v>
      </c>
      <c r="T39" s="23"/>
      <c r="U39" s="22" t="s">
        <v>233</v>
      </c>
      <c r="V39" s="23" t="s">
        <v>62</v>
      </c>
      <c r="W39" s="23"/>
      <c r="X39" s="23" t="e">
        <f>IF(COUNTIF(#REF!,_xlfn.TEXTJOIN(".",,C39,F39,H39)),"是","否")</f>
        <v>#REF!</v>
      </c>
      <c r="Y39" s="23" t="e">
        <f t="shared" si="22"/>
        <v>#REF!</v>
      </c>
      <c r="Z39" s="23"/>
      <c r="AA39" s="23"/>
      <c r="AB39" s="23"/>
      <c r="AC39" s="23"/>
      <c r="AD39" s="23"/>
      <c r="AE39" s="23"/>
      <c r="AF39" s="23"/>
      <c r="AG39" s="23"/>
      <c r="AH39" s="23"/>
      <c r="AI39" s="23"/>
      <c r="AJ39" s="1" t="str">
        <f t="shared" si="23"/>
        <v>SYS.NoSQL.redis_cluster_id.redis688_qps_send_total</v>
      </c>
      <c r="AK39" s="1"/>
      <c r="AL39" s="1"/>
    </row>
    <row r="40" spans="1:38" hidden="1" x14ac:dyDescent="0.25">
      <c r="A40" s="24">
        <f t="shared" si="21"/>
        <v>39</v>
      </c>
      <c r="B40" s="25" t="s">
        <v>179</v>
      </c>
      <c r="C40" s="25" t="s">
        <v>180</v>
      </c>
      <c r="D40" s="27" t="s">
        <v>181</v>
      </c>
      <c r="E40" s="25" t="s">
        <v>227</v>
      </c>
      <c r="F40" s="25" t="s">
        <v>228</v>
      </c>
      <c r="G40" s="25" t="s">
        <v>234</v>
      </c>
      <c r="H40" s="25" t="s">
        <v>235</v>
      </c>
      <c r="I40" s="22" t="s">
        <v>236</v>
      </c>
      <c r="J40" s="22" t="s">
        <v>38</v>
      </c>
      <c r="K40" s="22">
        <v>60</v>
      </c>
      <c r="L40" s="22" t="s">
        <v>39</v>
      </c>
      <c r="M40" s="22" t="s">
        <v>232</v>
      </c>
      <c r="N40" s="23" t="s">
        <v>55</v>
      </c>
      <c r="O40" s="23" t="s">
        <v>59</v>
      </c>
      <c r="P40" s="23" t="s">
        <v>60</v>
      </c>
      <c r="Q40" s="23">
        <v>3</v>
      </c>
      <c r="R40" s="23" t="s">
        <v>61</v>
      </c>
      <c r="S40" s="23">
        <v>834</v>
      </c>
      <c r="T40" s="23"/>
      <c r="U40" s="22" t="s">
        <v>233</v>
      </c>
      <c r="V40" s="23" t="s">
        <v>62</v>
      </c>
      <c r="W40" s="23"/>
      <c r="X40" s="23" t="e">
        <f>IF(COUNTIF(#REF!,_xlfn.TEXTJOIN(".",,C40,F40,H40)),"是","否")</f>
        <v>#REF!</v>
      </c>
      <c r="Y40" s="23" t="e">
        <f t="shared" si="22"/>
        <v>#REF!</v>
      </c>
      <c r="Z40" s="23"/>
      <c r="AA40" s="23"/>
      <c r="AB40" s="23"/>
      <c r="AC40" s="23"/>
      <c r="AD40" s="23"/>
      <c r="AE40" s="23"/>
      <c r="AF40" s="23"/>
      <c r="AG40" s="23"/>
      <c r="AH40" s="23"/>
      <c r="AI40" s="23"/>
      <c r="AJ40" s="1" t="str">
        <f t="shared" si="23"/>
        <v>SYS.NoSQL.redis_cluster_id.redis689_qps_receive_total</v>
      </c>
      <c r="AK40" s="1"/>
      <c r="AL40" s="1"/>
    </row>
    <row r="41" spans="1:38" hidden="1" x14ac:dyDescent="0.25">
      <c r="A41" s="24">
        <f t="shared" si="21"/>
        <v>40</v>
      </c>
      <c r="B41" s="25" t="s">
        <v>179</v>
      </c>
      <c r="C41" s="25" t="s">
        <v>180</v>
      </c>
      <c r="D41" s="27" t="s">
        <v>181</v>
      </c>
      <c r="E41" s="25" t="s">
        <v>227</v>
      </c>
      <c r="F41" s="25" t="s">
        <v>228</v>
      </c>
      <c r="G41" s="25" t="s">
        <v>237</v>
      </c>
      <c r="H41" s="25" t="s">
        <v>238</v>
      </c>
      <c r="I41" s="22" t="s">
        <v>239</v>
      </c>
      <c r="J41" s="22" t="s">
        <v>38</v>
      </c>
      <c r="K41" s="22">
        <v>60</v>
      </c>
      <c r="L41" s="22" t="s">
        <v>39</v>
      </c>
      <c r="M41" s="22" t="s">
        <v>104</v>
      </c>
      <c r="N41" s="23" t="s">
        <v>55</v>
      </c>
      <c r="O41" s="23" t="s">
        <v>59</v>
      </c>
      <c r="P41" s="23" t="s">
        <v>60</v>
      </c>
      <c r="Q41" s="23">
        <v>5</v>
      </c>
      <c r="R41" s="23" t="s">
        <v>240</v>
      </c>
      <c r="S41" s="23">
        <v>50000</v>
      </c>
      <c r="T41" s="23"/>
      <c r="U41" s="22" t="s">
        <v>104</v>
      </c>
      <c r="V41" s="23" t="s">
        <v>62</v>
      </c>
      <c r="W41" s="23"/>
      <c r="X41" s="23" t="e">
        <f>IF(COUNTIF(#REF!,_xlfn.TEXTJOIN(".",,C41,F41,H41)),"是","否")</f>
        <v>#REF!</v>
      </c>
      <c r="Y41" s="23" t="e">
        <f t="shared" si="22"/>
        <v>#REF!</v>
      </c>
      <c r="Z41" s="23"/>
      <c r="AA41" s="23"/>
      <c r="AB41" s="23"/>
      <c r="AC41" s="23"/>
      <c r="AD41" s="23"/>
      <c r="AE41" s="23"/>
      <c r="AF41" s="23"/>
      <c r="AG41" s="23"/>
      <c r="AH41" s="23"/>
      <c r="AI41" s="23"/>
      <c r="AJ41" s="1" t="str">
        <f t="shared" si="23"/>
        <v>SYS.NoSQL.redis_cluster_id.redis803_cluster_all_avg_usec</v>
      </c>
      <c r="AK41" s="1"/>
      <c r="AL41" s="1"/>
    </row>
    <row r="42" spans="1:38" hidden="1" x14ac:dyDescent="0.25">
      <c r="A42" s="24">
        <f t="shared" si="21"/>
        <v>41</v>
      </c>
      <c r="B42" s="25" t="s">
        <v>179</v>
      </c>
      <c r="C42" s="25" t="s">
        <v>180</v>
      </c>
      <c r="D42" s="27" t="s">
        <v>181</v>
      </c>
      <c r="E42" s="25" t="s">
        <v>227</v>
      </c>
      <c r="F42" s="25" t="s">
        <v>228</v>
      </c>
      <c r="G42" s="25" t="s">
        <v>241</v>
      </c>
      <c r="H42" s="25" t="s">
        <v>242</v>
      </c>
      <c r="I42" s="22" t="s">
        <v>243</v>
      </c>
      <c r="J42" s="22" t="s">
        <v>38</v>
      </c>
      <c r="K42" s="22">
        <v>60</v>
      </c>
      <c r="L42" s="22" t="s">
        <v>39</v>
      </c>
      <c r="M42" s="22" t="s">
        <v>104</v>
      </c>
      <c r="N42" s="23" t="s">
        <v>55</v>
      </c>
      <c r="O42" s="23" t="s">
        <v>59</v>
      </c>
      <c r="P42" s="23" t="s">
        <v>60</v>
      </c>
      <c r="Q42" s="23">
        <v>5</v>
      </c>
      <c r="R42" s="23" t="s">
        <v>240</v>
      </c>
      <c r="S42" s="23">
        <v>150000</v>
      </c>
      <c r="T42" s="23"/>
      <c r="U42" s="22" t="s">
        <v>104</v>
      </c>
      <c r="V42" s="23" t="s">
        <v>62</v>
      </c>
      <c r="W42" s="23"/>
      <c r="X42" s="23" t="e">
        <f>IF(COUNTIF(#REF!,_xlfn.TEXTJOIN(".",,C42,F42,H42)),"是","否")</f>
        <v>#REF!</v>
      </c>
      <c r="Y42" s="23" t="e">
        <f t="shared" si="22"/>
        <v>#REF!</v>
      </c>
      <c r="Z42" s="23"/>
      <c r="AA42" s="23"/>
      <c r="AB42" s="23"/>
      <c r="AC42" s="23"/>
      <c r="AD42" s="23"/>
      <c r="AE42" s="23"/>
      <c r="AF42" s="23"/>
      <c r="AG42" s="23"/>
      <c r="AH42" s="23"/>
      <c r="AI42" s="23"/>
      <c r="AJ42" s="1" t="str">
        <f t="shared" si="23"/>
        <v>SYS.NoSQL.redis_cluster_id.redis804_cluster_all_p99_usec</v>
      </c>
      <c r="AK42" s="1"/>
      <c r="AL42" s="1"/>
    </row>
    <row r="43" spans="1:38" hidden="1" x14ac:dyDescent="0.25">
      <c r="A43" s="24">
        <f t="shared" si="21"/>
        <v>42</v>
      </c>
      <c r="B43" s="25" t="s">
        <v>179</v>
      </c>
      <c r="C43" s="25" t="s">
        <v>180</v>
      </c>
      <c r="D43" s="27" t="s">
        <v>181</v>
      </c>
      <c r="E43" s="25" t="s">
        <v>227</v>
      </c>
      <c r="F43" s="25" t="s">
        <v>228</v>
      </c>
      <c r="G43" s="25" t="s">
        <v>244</v>
      </c>
      <c r="H43" s="25" t="s">
        <v>245</v>
      </c>
      <c r="I43" s="25" t="s">
        <v>246</v>
      </c>
      <c r="J43" s="25" t="s">
        <v>38</v>
      </c>
      <c r="K43" s="25">
        <v>60</v>
      </c>
      <c r="L43" s="25" t="s">
        <v>39</v>
      </c>
      <c r="M43" s="25" t="s">
        <v>58</v>
      </c>
      <c r="N43" s="23" t="s">
        <v>55</v>
      </c>
      <c r="O43" s="23" t="s">
        <v>59</v>
      </c>
      <c r="P43" s="26" t="s">
        <v>60</v>
      </c>
      <c r="Q43" s="26">
        <v>3</v>
      </c>
      <c r="R43" s="26" t="s">
        <v>61</v>
      </c>
      <c r="S43" s="30">
        <v>80</v>
      </c>
      <c r="T43" s="30">
        <v>90</v>
      </c>
      <c r="U43" s="23" t="s">
        <v>58</v>
      </c>
      <c r="V43" s="23" t="s">
        <v>62</v>
      </c>
      <c r="W43" s="23"/>
      <c r="X43" s="23" t="e">
        <f>IF(COUNTIF(#REF!,_xlfn.TEXTJOIN(".",,C43,F43,H43)),"是","否")</f>
        <v>#REF!</v>
      </c>
      <c r="Y43" s="23" t="e">
        <f t="shared" si="22"/>
        <v>#REF!</v>
      </c>
      <c r="Z43" s="23"/>
      <c r="AA43" s="23"/>
      <c r="AB43" s="23"/>
      <c r="AC43" s="23"/>
      <c r="AD43" s="23"/>
      <c r="AE43" s="23"/>
      <c r="AF43" s="23"/>
      <c r="AG43" s="23"/>
      <c r="AH43" s="23"/>
      <c r="AI43" s="23"/>
      <c r="AJ43" s="1" t="str">
        <f t="shared" si="23"/>
        <v>SYS.NoSQL.redis_cluster_id.redis816_cluster_disk_usage</v>
      </c>
      <c r="AK43" s="1"/>
      <c r="AL43" s="1"/>
    </row>
    <row r="44" spans="1:38" hidden="1" x14ac:dyDescent="0.25">
      <c r="A44" s="24">
        <f t="shared" si="21"/>
        <v>43</v>
      </c>
      <c r="B44" s="25" t="s">
        <v>179</v>
      </c>
      <c r="C44" s="25" t="s">
        <v>180</v>
      </c>
      <c r="D44" s="27" t="s">
        <v>181</v>
      </c>
      <c r="E44" s="25" t="s">
        <v>227</v>
      </c>
      <c r="F44" s="25" t="s">
        <v>228</v>
      </c>
      <c r="G44" s="25" t="s">
        <v>247</v>
      </c>
      <c r="H44" s="25" t="s">
        <v>248</v>
      </c>
      <c r="I44" s="25" t="s">
        <v>249</v>
      </c>
      <c r="J44" s="25" t="s">
        <v>38</v>
      </c>
      <c r="K44" s="25">
        <v>60</v>
      </c>
      <c r="L44" s="25" t="s">
        <v>39</v>
      </c>
      <c r="M44" s="25" t="s">
        <v>58</v>
      </c>
      <c r="N44" s="23" t="s">
        <v>55</v>
      </c>
      <c r="O44" s="23" t="s">
        <v>59</v>
      </c>
      <c r="P44" s="23" t="s">
        <v>60</v>
      </c>
      <c r="Q44" s="23">
        <v>3</v>
      </c>
      <c r="R44" s="26" t="s">
        <v>61</v>
      </c>
      <c r="S44" s="30">
        <v>80</v>
      </c>
      <c r="T44" s="30">
        <v>95</v>
      </c>
      <c r="U44" s="23" t="s">
        <v>58</v>
      </c>
      <c r="V44" s="23" t="s">
        <v>62</v>
      </c>
      <c r="W44" s="23"/>
      <c r="X44" s="23" t="e">
        <f>IF(COUNTIF(#REF!,_xlfn.TEXTJOIN(".",,C44,F44,H44)),"是","否")</f>
        <v>#REF!</v>
      </c>
      <c r="Y44" s="23" t="e">
        <f t="shared" si="22"/>
        <v>#REF!</v>
      </c>
      <c r="Z44" s="23"/>
      <c r="AA44" s="23"/>
      <c r="AB44" s="23"/>
      <c r="AC44" s="23"/>
      <c r="AD44" s="23"/>
      <c r="AE44" s="23"/>
      <c r="AF44" s="23"/>
      <c r="AG44" s="23"/>
      <c r="AH44" s="23"/>
      <c r="AI44" s="23"/>
      <c r="AJ44" s="1" t="str">
        <f t="shared" si="23"/>
        <v>SYS.NoSQL.redis_cluster_id.redis820_cluster_in_bandwidth_usage</v>
      </c>
      <c r="AK44" s="1"/>
      <c r="AL44" s="1"/>
    </row>
    <row r="45" spans="1:38" hidden="1" x14ac:dyDescent="0.25">
      <c r="A45" s="24">
        <f t="shared" si="21"/>
        <v>44</v>
      </c>
      <c r="B45" s="25" t="s">
        <v>179</v>
      </c>
      <c r="C45" s="25" t="s">
        <v>180</v>
      </c>
      <c r="D45" s="27" t="s">
        <v>181</v>
      </c>
      <c r="E45" s="25" t="s">
        <v>227</v>
      </c>
      <c r="F45" s="25" t="s">
        <v>228</v>
      </c>
      <c r="G45" s="25" t="s">
        <v>250</v>
      </c>
      <c r="H45" s="25" t="s">
        <v>251</v>
      </c>
      <c r="I45" s="25" t="s">
        <v>252</v>
      </c>
      <c r="J45" s="25" t="s">
        <v>38</v>
      </c>
      <c r="K45" s="25">
        <v>60</v>
      </c>
      <c r="L45" s="25" t="s">
        <v>39</v>
      </c>
      <c r="M45" s="25" t="s">
        <v>58</v>
      </c>
      <c r="N45" s="23" t="s">
        <v>55</v>
      </c>
      <c r="O45" s="23" t="s">
        <v>59</v>
      </c>
      <c r="P45" s="23" t="s">
        <v>60</v>
      </c>
      <c r="Q45" s="23">
        <v>3</v>
      </c>
      <c r="R45" s="26" t="s">
        <v>61</v>
      </c>
      <c r="S45" s="30">
        <v>80</v>
      </c>
      <c r="T45" s="30">
        <v>95</v>
      </c>
      <c r="U45" s="23" t="s">
        <v>58</v>
      </c>
      <c r="V45" s="23" t="s">
        <v>62</v>
      </c>
      <c r="W45" s="23"/>
      <c r="X45" s="23" t="e">
        <f>IF(COUNTIF(#REF!,_xlfn.TEXTJOIN(".",,C45,F45,H45)),"是","否")</f>
        <v>#REF!</v>
      </c>
      <c r="Y45" s="23" t="e">
        <f t="shared" si="22"/>
        <v>#REF!</v>
      </c>
      <c r="Z45" s="23"/>
      <c r="AA45" s="23"/>
      <c r="AB45" s="23"/>
      <c r="AC45" s="23"/>
      <c r="AD45" s="23"/>
      <c r="AE45" s="23"/>
      <c r="AF45" s="23"/>
      <c r="AG45" s="23"/>
      <c r="AH45" s="23"/>
      <c r="AI45" s="23"/>
      <c r="AJ45" s="1" t="str">
        <f t="shared" si="23"/>
        <v>SYS.NoSQL.redis_cluster_id.redis821_cluster_out_bandwidth_usage</v>
      </c>
      <c r="AK45" s="1"/>
      <c r="AL45" s="1"/>
    </row>
    <row r="46" spans="1:38" hidden="1" x14ac:dyDescent="0.25">
      <c r="A46" s="24">
        <f t="shared" si="21"/>
        <v>45</v>
      </c>
      <c r="B46" s="25" t="s">
        <v>179</v>
      </c>
      <c r="C46" s="25" t="s">
        <v>180</v>
      </c>
      <c r="D46" s="27" t="s">
        <v>181</v>
      </c>
      <c r="E46" s="25" t="s">
        <v>253</v>
      </c>
      <c r="F46" s="25" t="s">
        <v>254</v>
      </c>
      <c r="G46" s="25" t="s">
        <v>174</v>
      </c>
      <c r="H46" s="25" t="s">
        <v>255</v>
      </c>
      <c r="I46" s="25" t="s">
        <v>256</v>
      </c>
      <c r="J46" s="25" t="s">
        <v>38</v>
      </c>
      <c r="K46" s="25">
        <v>60</v>
      </c>
      <c r="L46" s="25" t="s">
        <v>39</v>
      </c>
      <c r="M46" s="25" t="s">
        <v>58</v>
      </c>
      <c r="N46" s="23" t="s">
        <v>55</v>
      </c>
      <c r="O46" s="23" t="s">
        <v>59</v>
      </c>
      <c r="P46" s="26" t="s">
        <v>60</v>
      </c>
      <c r="Q46" s="26">
        <v>3</v>
      </c>
      <c r="R46" s="26" t="s">
        <v>61</v>
      </c>
      <c r="S46" s="30">
        <v>80</v>
      </c>
      <c r="T46" s="30">
        <v>90</v>
      </c>
      <c r="U46" s="23" t="s">
        <v>58</v>
      </c>
      <c r="V46" s="23" t="s">
        <v>62</v>
      </c>
      <c r="W46" s="23"/>
      <c r="X46" s="23" t="e">
        <f>IF(COUNTIF(#REF!,_xlfn.TEXTJOIN(".",,C46,F46,H46)),"是","否")</f>
        <v>#REF!</v>
      </c>
      <c r="Y46" s="23" t="e">
        <f t="shared" si="22"/>
        <v>#REF!</v>
      </c>
      <c r="Z46" s="23"/>
      <c r="AA46" s="23" t="s">
        <v>55</v>
      </c>
      <c r="AB46" s="23" t="s">
        <v>60</v>
      </c>
      <c r="AC46" s="23">
        <v>3</v>
      </c>
      <c r="AD46" s="23" t="s">
        <v>61</v>
      </c>
      <c r="AE46" s="23">
        <v>70</v>
      </c>
      <c r="AF46" s="23"/>
      <c r="AG46" s="23"/>
      <c r="AH46" s="23" t="s">
        <v>58</v>
      </c>
      <c r="AI46" s="23" t="s">
        <v>62</v>
      </c>
      <c r="AJ46" s="1" t="str">
        <f t="shared" si="23"/>
        <v>SYS.NoSQL.redis_cluster_id,redis_node_id.redis669_connection_usage</v>
      </c>
      <c r="AK46" s="1"/>
      <c r="AL46" s="1"/>
    </row>
    <row r="47" spans="1:38" hidden="1" x14ac:dyDescent="0.25">
      <c r="A47" s="24">
        <f t="shared" si="21"/>
        <v>46</v>
      </c>
      <c r="B47" s="25" t="s">
        <v>179</v>
      </c>
      <c r="C47" s="25" t="s">
        <v>180</v>
      </c>
      <c r="D47" s="27" t="s">
        <v>181</v>
      </c>
      <c r="E47" s="25" t="s">
        <v>253</v>
      </c>
      <c r="F47" s="25" t="s">
        <v>254</v>
      </c>
      <c r="G47" s="25" t="s">
        <v>201</v>
      </c>
      <c r="H47" s="25" t="s">
        <v>202</v>
      </c>
      <c r="I47" s="25" t="s">
        <v>203</v>
      </c>
      <c r="J47" s="25" t="s">
        <v>38</v>
      </c>
      <c r="K47" s="25">
        <v>60</v>
      </c>
      <c r="L47" s="25" t="s">
        <v>39</v>
      </c>
      <c r="M47" s="25" t="s">
        <v>58</v>
      </c>
      <c r="N47" s="23" t="s">
        <v>55</v>
      </c>
      <c r="O47" s="23" t="s">
        <v>59</v>
      </c>
      <c r="P47" s="26" t="s">
        <v>60</v>
      </c>
      <c r="Q47" s="26">
        <v>3</v>
      </c>
      <c r="R47" s="26" t="s">
        <v>61</v>
      </c>
      <c r="S47" s="30">
        <v>80</v>
      </c>
      <c r="T47" s="30">
        <v>90</v>
      </c>
      <c r="U47" s="23" t="s">
        <v>58</v>
      </c>
      <c r="V47" s="23" t="s">
        <v>62</v>
      </c>
      <c r="W47" s="23"/>
      <c r="X47" s="23" t="e">
        <f>IF(COUNTIF(#REF!,_xlfn.TEXTJOIN(".",,C47,F47,H47)),"是","否")</f>
        <v>#REF!</v>
      </c>
      <c r="Y47" s="23" t="e">
        <f t="shared" si="22"/>
        <v>#REF!</v>
      </c>
      <c r="Z47" s="23"/>
      <c r="AA47" s="23" t="s">
        <v>55</v>
      </c>
      <c r="AB47" s="23" t="s">
        <v>60</v>
      </c>
      <c r="AC47" s="23">
        <v>3</v>
      </c>
      <c r="AD47" s="23" t="s">
        <v>61</v>
      </c>
      <c r="AE47" s="23">
        <v>90</v>
      </c>
      <c r="AF47" s="23"/>
      <c r="AG47" s="23"/>
      <c r="AH47" s="23" t="s">
        <v>58</v>
      </c>
      <c r="AI47" s="23" t="s">
        <v>62</v>
      </c>
      <c r="AJ47" s="1" t="str">
        <f t="shared" si="23"/>
        <v>SYS.NoSQL.redis_cluster_id,redis_node_id.nosql001_cpu_usage</v>
      </c>
      <c r="AK47" s="1"/>
      <c r="AL47" s="1"/>
    </row>
    <row r="48" spans="1:38" hidden="1" x14ac:dyDescent="0.25">
      <c r="A48" s="24">
        <f t="shared" si="21"/>
        <v>47</v>
      </c>
      <c r="B48" s="25" t="s">
        <v>179</v>
      </c>
      <c r="C48" s="25" t="s">
        <v>180</v>
      </c>
      <c r="D48" s="27" t="s">
        <v>181</v>
      </c>
      <c r="E48" s="25" t="s">
        <v>253</v>
      </c>
      <c r="F48" s="25" t="s">
        <v>254</v>
      </c>
      <c r="G48" s="25" t="s">
        <v>204</v>
      </c>
      <c r="H48" s="25" t="s">
        <v>205</v>
      </c>
      <c r="I48" s="25" t="s">
        <v>206</v>
      </c>
      <c r="J48" s="25" t="s">
        <v>38</v>
      </c>
      <c r="K48" s="25">
        <v>60</v>
      </c>
      <c r="L48" s="25" t="s">
        <v>39</v>
      </c>
      <c r="M48" s="25" t="s">
        <v>58</v>
      </c>
      <c r="N48" s="23" t="s">
        <v>55</v>
      </c>
      <c r="O48" s="23" t="s">
        <v>59</v>
      </c>
      <c r="P48" s="26" t="s">
        <v>60</v>
      </c>
      <c r="Q48" s="26">
        <v>3</v>
      </c>
      <c r="R48" s="26" t="s">
        <v>61</v>
      </c>
      <c r="S48" s="30">
        <v>80</v>
      </c>
      <c r="T48" s="30">
        <v>90</v>
      </c>
      <c r="U48" s="23" t="s">
        <v>58</v>
      </c>
      <c r="V48" s="23" t="s">
        <v>62</v>
      </c>
      <c r="W48" s="23"/>
      <c r="X48" s="23" t="e">
        <f>IF(COUNTIF(#REF!,_xlfn.TEXTJOIN(".",,C48,F48,H48)),"是","否")</f>
        <v>#REF!</v>
      </c>
      <c r="Y48" s="23" t="e">
        <f t="shared" si="22"/>
        <v>#REF!</v>
      </c>
      <c r="Z48" s="23"/>
      <c r="AA48" s="23" t="s">
        <v>55</v>
      </c>
      <c r="AB48" s="23" t="s">
        <v>60</v>
      </c>
      <c r="AC48" s="23">
        <v>3</v>
      </c>
      <c r="AD48" s="23" t="s">
        <v>61</v>
      </c>
      <c r="AE48" s="23">
        <v>90</v>
      </c>
      <c r="AF48" s="23"/>
      <c r="AG48" s="23"/>
      <c r="AH48" s="23" t="s">
        <v>58</v>
      </c>
      <c r="AI48" s="23" t="s">
        <v>62</v>
      </c>
      <c r="AJ48" s="1" t="str">
        <f t="shared" si="23"/>
        <v>SYS.NoSQL.redis_cluster_id,redis_node_id.nosql002_mem_usage</v>
      </c>
      <c r="AK48" s="1"/>
      <c r="AL48" s="1"/>
    </row>
    <row r="49" spans="1:38" hidden="1" x14ac:dyDescent="0.25">
      <c r="A49" s="24">
        <f t="shared" si="21"/>
        <v>48</v>
      </c>
      <c r="B49" s="25" t="s">
        <v>179</v>
      </c>
      <c r="C49" s="25" t="s">
        <v>180</v>
      </c>
      <c r="D49" s="27" t="s">
        <v>181</v>
      </c>
      <c r="E49" s="25" t="s">
        <v>253</v>
      </c>
      <c r="F49" s="25" t="s">
        <v>254</v>
      </c>
      <c r="G49" s="25" t="s">
        <v>191</v>
      </c>
      <c r="H49" s="25" t="s">
        <v>192</v>
      </c>
      <c r="I49" s="25" t="s">
        <v>193</v>
      </c>
      <c r="J49" s="25" t="s">
        <v>38</v>
      </c>
      <c r="K49" s="25">
        <v>60</v>
      </c>
      <c r="L49" s="25" t="s">
        <v>39</v>
      </c>
      <c r="M49" s="25" t="s">
        <v>58</v>
      </c>
      <c r="N49" s="23" t="s">
        <v>55</v>
      </c>
      <c r="O49" s="23" t="s">
        <v>59</v>
      </c>
      <c r="P49" s="23" t="s">
        <v>60</v>
      </c>
      <c r="Q49" s="26">
        <v>3</v>
      </c>
      <c r="R49" s="26" t="s">
        <v>61</v>
      </c>
      <c r="S49" s="30">
        <v>80</v>
      </c>
      <c r="T49" s="30">
        <v>90</v>
      </c>
      <c r="U49" s="23" t="s">
        <v>58</v>
      </c>
      <c r="V49" s="23" t="s">
        <v>62</v>
      </c>
      <c r="W49" s="23"/>
      <c r="X49" s="23" t="e">
        <f>IF(COUNTIF(#REF!,_xlfn.TEXTJOIN(".",,C49,F49,H49)),"是","否")</f>
        <v>#REF!</v>
      </c>
      <c r="Y49" s="23" t="e">
        <f t="shared" si="22"/>
        <v>#REF!</v>
      </c>
      <c r="Z49" s="23"/>
      <c r="AA49" s="23" t="s">
        <v>55</v>
      </c>
      <c r="AB49" s="23" t="s">
        <v>60</v>
      </c>
      <c r="AC49" s="23">
        <v>3</v>
      </c>
      <c r="AD49" s="23" t="s">
        <v>61</v>
      </c>
      <c r="AE49" s="23">
        <v>80</v>
      </c>
      <c r="AF49" s="23"/>
      <c r="AG49" s="23"/>
      <c r="AH49" s="23" t="s">
        <v>58</v>
      </c>
      <c r="AI49" s="23" t="s">
        <v>62</v>
      </c>
      <c r="AJ49" s="1" t="str">
        <f t="shared" si="23"/>
        <v>SYS.NoSQL.redis_cluster_id,redis_node_id.nosql005_disk_usage</v>
      </c>
      <c r="AK49" s="1"/>
      <c r="AL49" s="1"/>
    </row>
    <row r="50" spans="1:38" hidden="1" x14ac:dyDescent="0.25">
      <c r="A50" s="24">
        <f t="shared" ref="A50:A61" si="24">ROW()-1</f>
        <v>49</v>
      </c>
      <c r="B50" s="25" t="s">
        <v>258</v>
      </c>
      <c r="C50" s="25" t="s">
        <v>259</v>
      </c>
      <c r="D50" s="25" t="s">
        <v>260</v>
      </c>
      <c r="E50" s="27" t="s">
        <v>258</v>
      </c>
      <c r="F50" s="25" t="s">
        <v>272</v>
      </c>
      <c r="G50" s="25" t="s">
        <v>273</v>
      </c>
      <c r="H50" s="25" t="s">
        <v>274</v>
      </c>
      <c r="I50" s="22" t="s">
        <v>275</v>
      </c>
      <c r="J50" s="22" t="s">
        <v>38</v>
      </c>
      <c r="K50" s="22">
        <v>60</v>
      </c>
      <c r="L50" s="22" t="s">
        <v>39</v>
      </c>
      <c r="M50" s="22" t="s">
        <v>58</v>
      </c>
      <c r="N50" s="23" t="s">
        <v>55</v>
      </c>
      <c r="O50" s="23" t="s">
        <v>59</v>
      </c>
      <c r="P50" s="23" t="s">
        <v>60</v>
      </c>
      <c r="Q50" s="23">
        <v>3</v>
      </c>
      <c r="R50" s="23" t="s">
        <v>61</v>
      </c>
      <c r="S50" s="23"/>
      <c r="T50" s="23">
        <v>90</v>
      </c>
      <c r="U50" s="22" t="s">
        <v>58</v>
      </c>
      <c r="V50" s="23" t="s">
        <v>276</v>
      </c>
      <c r="W50" s="23"/>
      <c r="X50" s="23" t="e">
        <f>IF(COUNTIF(#REF!,_xlfn.TEXTJOIN(".",,C50,F50,H50)),"是","否")</f>
        <v>#REF!</v>
      </c>
      <c r="Y50" s="23" t="e">
        <f t="shared" ref="Y50:Y61" si="25">IF(AND(O50="底线指标",X50="是"),"是","否")</f>
        <v>#REF!</v>
      </c>
      <c r="Z50" s="23"/>
      <c r="AA50" s="27" t="s">
        <v>55</v>
      </c>
      <c r="AB50" s="27" t="s">
        <v>60</v>
      </c>
      <c r="AC50" s="27">
        <v>3</v>
      </c>
      <c r="AD50" s="27" t="s">
        <v>61</v>
      </c>
      <c r="AE50" s="27"/>
      <c r="AF50" s="27">
        <v>80</v>
      </c>
      <c r="AG50" s="27"/>
      <c r="AH50" s="27" t="s">
        <v>58</v>
      </c>
      <c r="AI50" s="27" t="s">
        <v>276</v>
      </c>
      <c r="AJ50" s="1" t="str">
        <f t="shared" ref="AJ50:AJ61" si="26">_xlfn.TEXTJOIN(".",TRUE,C50,F50,H50)</f>
        <v>SYS.ELB.lbaas_instance_id.l4_con_usage</v>
      </c>
      <c r="AK50" s="1"/>
      <c r="AL50" s="1"/>
    </row>
    <row r="51" spans="1:38" hidden="1" x14ac:dyDescent="0.25">
      <c r="A51" s="24">
        <f t="shared" si="24"/>
        <v>50</v>
      </c>
      <c r="B51" s="25" t="s">
        <v>258</v>
      </c>
      <c r="C51" s="25" t="s">
        <v>259</v>
      </c>
      <c r="D51" s="25" t="s">
        <v>260</v>
      </c>
      <c r="E51" s="27" t="s">
        <v>258</v>
      </c>
      <c r="F51" s="25" t="s">
        <v>272</v>
      </c>
      <c r="G51" s="25" t="s">
        <v>277</v>
      </c>
      <c r="H51" s="25" t="s">
        <v>278</v>
      </c>
      <c r="I51" s="22" t="s">
        <v>279</v>
      </c>
      <c r="J51" s="22" t="s">
        <v>38</v>
      </c>
      <c r="K51" s="22">
        <v>60</v>
      </c>
      <c r="L51" s="22" t="s">
        <v>39</v>
      </c>
      <c r="M51" s="22" t="s">
        <v>58</v>
      </c>
      <c r="N51" s="23" t="s">
        <v>55</v>
      </c>
      <c r="O51" s="23" t="s">
        <v>59</v>
      </c>
      <c r="P51" s="23" t="s">
        <v>60</v>
      </c>
      <c r="Q51" s="23">
        <v>3</v>
      </c>
      <c r="R51" s="23" t="s">
        <v>61</v>
      </c>
      <c r="S51" s="23"/>
      <c r="T51" s="23">
        <v>90</v>
      </c>
      <c r="U51" s="22" t="s">
        <v>58</v>
      </c>
      <c r="V51" s="23" t="s">
        <v>276</v>
      </c>
      <c r="W51" s="23"/>
      <c r="X51" s="23" t="e">
        <f>IF(COUNTIF(#REF!,_xlfn.TEXTJOIN(".",,C51,F51,H51)),"是","否")</f>
        <v>#REF!</v>
      </c>
      <c r="Y51" s="23" t="e">
        <f t="shared" si="25"/>
        <v>#REF!</v>
      </c>
      <c r="Z51" s="23"/>
      <c r="AA51" s="27" t="s">
        <v>55</v>
      </c>
      <c r="AB51" s="27" t="s">
        <v>60</v>
      </c>
      <c r="AC51" s="27">
        <v>3</v>
      </c>
      <c r="AD51" s="27" t="s">
        <v>61</v>
      </c>
      <c r="AE51" s="27">
        <v>80</v>
      </c>
      <c r="AF51" s="27"/>
      <c r="AG51" s="27"/>
      <c r="AH51" s="27" t="s">
        <v>58</v>
      </c>
      <c r="AI51" s="27" t="s">
        <v>276</v>
      </c>
      <c r="AJ51" s="1" t="str">
        <f t="shared" si="26"/>
        <v>SYS.ELB.lbaas_instance_id.l4_in_bps_usage</v>
      </c>
      <c r="AK51" s="1"/>
      <c r="AL51" s="1"/>
    </row>
    <row r="52" spans="1:38" hidden="1" x14ac:dyDescent="0.25">
      <c r="A52" s="24">
        <f t="shared" si="24"/>
        <v>51</v>
      </c>
      <c r="B52" s="25" t="s">
        <v>258</v>
      </c>
      <c r="C52" s="25" t="s">
        <v>259</v>
      </c>
      <c r="D52" s="25" t="s">
        <v>260</v>
      </c>
      <c r="E52" s="27" t="s">
        <v>258</v>
      </c>
      <c r="F52" s="25" t="s">
        <v>272</v>
      </c>
      <c r="G52" s="25" t="s">
        <v>280</v>
      </c>
      <c r="H52" s="25" t="s">
        <v>281</v>
      </c>
      <c r="I52" s="22" t="s">
        <v>282</v>
      </c>
      <c r="J52" s="22" t="s">
        <v>38</v>
      </c>
      <c r="K52" s="22">
        <v>60</v>
      </c>
      <c r="L52" s="22" t="s">
        <v>39</v>
      </c>
      <c r="M52" s="22" t="s">
        <v>58</v>
      </c>
      <c r="N52" s="23" t="s">
        <v>55</v>
      </c>
      <c r="O52" s="23" t="s">
        <v>59</v>
      </c>
      <c r="P52" s="23" t="s">
        <v>60</v>
      </c>
      <c r="Q52" s="23">
        <v>3</v>
      </c>
      <c r="R52" s="23" t="s">
        <v>61</v>
      </c>
      <c r="S52" s="23"/>
      <c r="T52" s="23">
        <v>90</v>
      </c>
      <c r="U52" s="22" t="s">
        <v>58</v>
      </c>
      <c r="V52" s="23" t="s">
        <v>276</v>
      </c>
      <c r="W52" s="23"/>
      <c r="X52" s="23" t="e">
        <f>IF(COUNTIF(#REF!,_xlfn.TEXTJOIN(".",,C52,F52,H52)),"是","否")</f>
        <v>#REF!</v>
      </c>
      <c r="Y52" s="23" t="e">
        <f t="shared" si="25"/>
        <v>#REF!</v>
      </c>
      <c r="Z52" s="23"/>
      <c r="AA52" s="27" t="s">
        <v>55</v>
      </c>
      <c r="AB52" s="27" t="s">
        <v>60</v>
      </c>
      <c r="AC52" s="27">
        <v>3</v>
      </c>
      <c r="AD52" s="27" t="s">
        <v>61</v>
      </c>
      <c r="AE52" s="27"/>
      <c r="AF52" s="27">
        <v>80</v>
      </c>
      <c r="AG52" s="27"/>
      <c r="AH52" s="27" t="s">
        <v>58</v>
      </c>
      <c r="AI52" s="27" t="s">
        <v>276</v>
      </c>
      <c r="AJ52" s="1" t="str">
        <f t="shared" si="26"/>
        <v>SYS.ELB.lbaas_instance_id.l4_ncps_usage</v>
      </c>
      <c r="AK52" s="1"/>
      <c r="AL52" s="1"/>
    </row>
    <row r="53" spans="1:38" hidden="1" x14ac:dyDescent="0.25">
      <c r="A53" s="24">
        <f t="shared" si="24"/>
        <v>52</v>
      </c>
      <c r="B53" s="25" t="s">
        <v>258</v>
      </c>
      <c r="C53" s="25" t="s">
        <v>259</v>
      </c>
      <c r="D53" s="25" t="s">
        <v>260</v>
      </c>
      <c r="E53" s="27" t="s">
        <v>258</v>
      </c>
      <c r="F53" s="25" t="s">
        <v>272</v>
      </c>
      <c r="G53" s="25" t="s">
        <v>283</v>
      </c>
      <c r="H53" s="25" t="s">
        <v>284</v>
      </c>
      <c r="I53" s="22" t="s">
        <v>285</v>
      </c>
      <c r="J53" s="22" t="s">
        <v>38</v>
      </c>
      <c r="K53" s="22">
        <v>60</v>
      </c>
      <c r="L53" s="22" t="s">
        <v>39</v>
      </c>
      <c r="M53" s="22" t="s">
        <v>58</v>
      </c>
      <c r="N53" s="23" t="s">
        <v>55</v>
      </c>
      <c r="O53" s="23" t="s">
        <v>59</v>
      </c>
      <c r="P53" s="23" t="s">
        <v>60</v>
      </c>
      <c r="Q53" s="23">
        <v>3</v>
      </c>
      <c r="R53" s="23" t="s">
        <v>61</v>
      </c>
      <c r="S53" s="23"/>
      <c r="T53" s="23">
        <v>90</v>
      </c>
      <c r="U53" s="22" t="s">
        <v>58</v>
      </c>
      <c r="V53" s="23" t="s">
        <v>276</v>
      </c>
      <c r="W53" s="23"/>
      <c r="X53" s="23" t="e">
        <f>IF(COUNTIF(#REF!,_xlfn.TEXTJOIN(".",,C53,F53,H53)),"是","否")</f>
        <v>#REF!</v>
      </c>
      <c r="Y53" s="23" t="e">
        <f t="shared" si="25"/>
        <v>#REF!</v>
      </c>
      <c r="Z53" s="23"/>
      <c r="AA53" s="27" t="s">
        <v>55</v>
      </c>
      <c r="AB53" s="27" t="s">
        <v>60</v>
      </c>
      <c r="AC53" s="27">
        <v>3</v>
      </c>
      <c r="AD53" s="27" t="s">
        <v>61</v>
      </c>
      <c r="AE53" s="27">
        <v>80</v>
      </c>
      <c r="AF53" s="27"/>
      <c r="AG53" s="27"/>
      <c r="AH53" s="27" t="s">
        <v>58</v>
      </c>
      <c r="AI53" s="27" t="s">
        <v>276</v>
      </c>
      <c r="AJ53" s="1" t="str">
        <f t="shared" si="26"/>
        <v>SYS.ELB.lbaas_instance_id.l4_out_bps_usage</v>
      </c>
      <c r="AK53" s="1"/>
      <c r="AL53" s="1"/>
    </row>
    <row r="54" spans="1:38" hidden="1" x14ac:dyDescent="0.25">
      <c r="A54" s="24">
        <f t="shared" si="24"/>
        <v>53</v>
      </c>
      <c r="B54" s="25" t="s">
        <v>258</v>
      </c>
      <c r="C54" s="25" t="s">
        <v>259</v>
      </c>
      <c r="D54" s="25" t="s">
        <v>260</v>
      </c>
      <c r="E54" s="27" t="s">
        <v>258</v>
      </c>
      <c r="F54" s="25" t="s">
        <v>272</v>
      </c>
      <c r="G54" s="25" t="s">
        <v>286</v>
      </c>
      <c r="H54" s="25" t="s">
        <v>287</v>
      </c>
      <c r="I54" s="22" t="s">
        <v>288</v>
      </c>
      <c r="J54" s="22" t="s">
        <v>38</v>
      </c>
      <c r="K54" s="22">
        <v>60</v>
      </c>
      <c r="L54" s="22" t="s">
        <v>39</v>
      </c>
      <c r="M54" s="22" t="s">
        <v>58</v>
      </c>
      <c r="N54" s="23" t="s">
        <v>55</v>
      </c>
      <c r="O54" s="23" t="s">
        <v>59</v>
      </c>
      <c r="P54" s="23" t="s">
        <v>60</v>
      </c>
      <c r="Q54" s="23">
        <v>3</v>
      </c>
      <c r="R54" s="23" t="s">
        <v>61</v>
      </c>
      <c r="S54" s="23"/>
      <c r="T54" s="23">
        <v>90</v>
      </c>
      <c r="U54" s="22" t="s">
        <v>58</v>
      </c>
      <c r="V54" s="23" t="s">
        <v>276</v>
      </c>
      <c r="W54" s="23"/>
      <c r="X54" s="23" t="e">
        <f>IF(COUNTIF(#REF!,_xlfn.TEXTJOIN(".",,C54,F54,H54)),"是","否")</f>
        <v>#REF!</v>
      </c>
      <c r="Y54" s="23" t="e">
        <f t="shared" si="25"/>
        <v>#REF!</v>
      </c>
      <c r="Z54" s="23"/>
      <c r="AA54" s="27" t="s">
        <v>55</v>
      </c>
      <c r="AB54" s="27" t="s">
        <v>60</v>
      </c>
      <c r="AC54" s="27">
        <v>3</v>
      </c>
      <c r="AD54" s="27" t="s">
        <v>61</v>
      </c>
      <c r="AE54" s="27"/>
      <c r="AF54" s="27">
        <v>80</v>
      </c>
      <c r="AG54" s="27"/>
      <c r="AH54" s="27" t="s">
        <v>58</v>
      </c>
      <c r="AI54" s="27" t="s">
        <v>276</v>
      </c>
      <c r="AJ54" s="1" t="str">
        <f t="shared" si="26"/>
        <v>SYS.ELB.lbaas_instance_id.l7_con_usage</v>
      </c>
      <c r="AK54" s="1"/>
      <c r="AL54" s="1"/>
    </row>
    <row r="55" spans="1:38" hidden="1" x14ac:dyDescent="0.25">
      <c r="A55" s="24">
        <f t="shared" si="24"/>
        <v>54</v>
      </c>
      <c r="B55" s="25" t="s">
        <v>258</v>
      </c>
      <c r="C55" s="25" t="s">
        <v>259</v>
      </c>
      <c r="D55" s="25" t="s">
        <v>260</v>
      </c>
      <c r="E55" s="27" t="s">
        <v>258</v>
      </c>
      <c r="F55" s="25" t="s">
        <v>272</v>
      </c>
      <c r="G55" s="25" t="s">
        <v>289</v>
      </c>
      <c r="H55" s="25" t="s">
        <v>290</v>
      </c>
      <c r="I55" s="22" t="s">
        <v>291</v>
      </c>
      <c r="J55" s="22" t="s">
        <v>38</v>
      </c>
      <c r="K55" s="22">
        <v>60</v>
      </c>
      <c r="L55" s="22" t="s">
        <v>39</v>
      </c>
      <c r="M55" s="22" t="s">
        <v>58</v>
      </c>
      <c r="N55" s="23" t="s">
        <v>55</v>
      </c>
      <c r="O55" s="23" t="s">
        <v>59</v>
      </c>
      <c r="P55" s="23" t="s">
        <v>60</v>
      </c>
      <c r="Q55" s="23">
        <v>3</v>
      </c>
      <c r="R55" s="23" t="s">
        <v>61</v>
      </c>
      <c r="S55" s="23"/>
      <c r="T55" s="23">
        <v>90</v>
      </c>
      <c r="U55" s="22" t="s">
        <v>58</v>
      </c>
      <c r="V55" s="23" t="s">
        <v>276</v>
      </c>
      <c r="W55" s="23"/>
      <c r="X55" s="23" t="e">
        <f>IF(COUNTIF(#REF!,_xlfn.TEXTJOIN(".",,C55,F55,H55)),"是","否")</f>
        <v>#REF!</v>
      </c>
      <c r="Y55" s="23" t="e">
        <f t="shared" si="25"/>
        <v>#REF!</v>
      </c>
      <c r="Z55" s="23"/>
      <c r="AA55" s="27" t="s">
        <v>55</v>
      </c>
      <c r="AB55" s="27" t="s">
        <v>60</v>
      </c>
      <c r="AC55" s="27">
        <v>3</v>
      </c>
      <c r="AD55" s="27" t="s">
        <v>61</v>
      </c>
      <c r="AE55" s="27">
        <v>80</v>
      </c>
      <c r="AF55" s="27"/>
      <c r="AG55" s="27"/>
      <c r="AH55" s="27" t="s">
        <v>58</v>
      </c>
      <c r="AI55" s="27" t="s">
        <v>276</v>
      </c>
      <c r="AJ55" s="1" t="str">
        <f t="shared" si="26"/>
        <v>SYS.ELB.lbaas_instance_id.l7_in_bps_usage</v>
      </c>
      <c r="AK55" s="1"/>
      <c r="AL55" s="1"/>
    </row>
    <row r="56" spans="1:38" hidden="1" x14ac:dyDescent="0.25">
      <c r="A56" s="24">
        <f t="shared" si="24"/>
        <v>55</v>
      </c>
      <c r="B56" s="25" t="s">
        <v>258</v>
      </c>
      <c r="C56" s="25" t="s">
        <v>259</v>
      </c>
      <c r="D56" s="25" t="s">
        <v>260</v>
      </c>
      <c r="E56" s="27" t="s">
        <v>258</v>
      </c>
      <c r="F56" s="25" t="s">
        <v>272</v>
      </c>
      <c r="G56" s="25" t="s">
        <v>292</v>
      </c>
      <c r="H56" s="25" t="s">
        <v>293</v>
      </c>
      <c r="I56" s="22" t="s">
        <v>294</v>
      </c>
      <c r="J56" s="22" t="s">
        <v>38</v>
      </c>
      <c r="K56" s="22">
        <v>60</v>
      </c>
      <c r="L56" s="22" t="s">
        <v>39</v>
      </c>
      <c r="M56" s="22" t="s">
        <v>58</v>
      </c>
      <c r="N56" s="23" t="s">
        <v>55</v>
      </c>
      <c r="O56" s="23" t="s">
        <v>59</v>
      </c>
      <c r="P56" s="23" t="s">
        <v>60</v>
      </c>
      <c r="Q56" s="23">
        <v>3</v>
      </c>
      <c r="R56" s="23" t="s">
        <v>61</v>
      </c>
      <c r="S56" s="23"/>
      <c r="T56" s="23">
        <v>90</v>
      </c>
      <c r="U56" s="22" t="s">
        <v>58</v>
      </c>
      <c r="V56" s="23" t="s">
        <v>276</v>
      </c>
      <c r="W56" s="23"/>
      <c r="X56" s="23" t="e">
        <f>IF(COUNTIF(#REF!,_xlfn.TEXTJOIN(".",,C56,F56,H56)),"是","否")</f>
        <v>#REF!</v>
      </c>
      <c r="Y56" s="23" t="e">
        <f t="shared" si="25"/>
        <v>#REF!</v>
      </c>
      <c r="Z56" s="23"/>
      <c r="AA56" s="27" t="s">
        <v>55</v>
      </c>
      <c r="AB56" s="27" t="s">
        <v>60</v>
      </c>
      <c r="AC56" s="27">
        <v>3</v>
      </c>
      <c r="AD56" s="27" t="s">
        <v>61</v>
      </c>
      <c r="AE56" s="27"/>
      <c r="AF56" s="27">
        <v>80</v>
      </c>
      <c r="AG56" s="27"/>
      <c r="AH56" s="27" t="s">
        <v>58</v>
      </c>
      <c r="AI56" s="27" t="s">
        <v>276</v>
      </c>
      <c r="AJ56" s="1" t="str">
        <f t="shared" si="26"/>
        <v>SYS.ELB.lbaas_instance_id.l7_ncps_usage</v>
      </c>
      <c r="AK56" s="1"/>
      <c r="AL56" s="1"/>
    </row>
    <row r="57" spans="1:38" hidden="1" x14ac:dyDescent="0.25">
      <c r="A57" s="24">
        <f t="shared" si="24"/>
        <v>56</v>
      </c>
      <c r="B57" s="25" t="s">
        <v>258</v>
      </c>
      <c r="C57" s="25" t="s">
        <v>259</v>
      </c>
      <c r="D57" s="25" t="s">
        <v>260</v>
      </c>
      <c r="E57" s="27" t="s">
        <v>258</v>
      </c>
      <c r="F57" s="25" t="s">
        <v>272</v>
      </c>
      <c r="G57" s="25" t="s">
        <v>295</v>
      </c>
      <c r="H57" s="25" t="s">
        <v>296</v>
      </c>
      <c r="I57" s="22" t="s">
        <v>297</v>
      </c>
      <c r="J57" s="22" t="s">
        <v>38</v>
      </c>
      <c r="K57" s="22">
        <v>60</v>
      </c>
      <c r="L57" s="22" t="s">
        <v>39</v>
      </c>
      <c r="M57" s="22" t="s">
        <v>58</v>
      </c>
      <c r="N57" s="23" t="s">
        <v>55</v>
      </c>
      <c r="O57" s="23" t="s">
        <v>59</v>
      </c>
      <c r="P57" s="23" t="s">
        <v>60</v>
      </c>
      <c r="Q57" s="23">
        <v>3</v>
      </c>
      <c r="R57" s="23" t="s">
        <v>61</v>
      </c>
      <c r="S57" s="23"/>
      <c r="T57" s="23">
        <v>90</v>
      </c>
      <c r="U57" s="22" t="s">
        <v>58</v>
      </c>
      <c r="V57" s="23" t="s">
        <v>276</v>
      </c>
      <c r="W57" s="23"/>
      <c r="X57" s="23" t="e">
        <f>IF(COUNTIF(#REF!,_xlfn.TEXTJOIN(".",,C57,F57,H57)),"是","否")</f>
        <v>#REF!</v>
      </c>
      <c r="Y57" s="23" t="e">
        <f t="shared" si="25"/>
        <v>#REF!</v>
      </c>
      <c r="Z57" s="23"/>
      <c r="AA57" s="27" t="s">
        <v>55</v>
      </c>
      <c r="AB57" s="27" t="s">
        <v>60</v>
      </c>
      <c r="AC57" s="27">
        <v>3</v>
      </c>
      <c r="AD57" s="27" t="s">
        <v>61</v>
      </c>
      <c r="AE57" s="27">
        <v>80</v>
      </c>
      <c r="AF57" s="27"/>
      <c r="AG57" s="27"/>
      <c r="AH57" s="27" t="s">
        <v>58</v>
      </c>
      <c r="AI57" s="27" t="s">
        <v>276</v>
      </c>
      <c r="AJ57" s="1" t="str">
        <f t="shared" si="26"/>
        <v>SYS.ELB.lbaas_instance_id.l7_out_bps_usage</v>
      </c>
      <c r="AK57" s="1"/>
      <c r="AL57" s="1"/>
    </row>
    <row r="58" spans="1:38" hidden="1" x14ac:dyDescent="0.25">
      <c r="A58" s="24">
        <f t="shared" si="24"/>
        <v>57</v>
      </c>
      <c r="B58" s="25" t="s">
        <v>258</v>
      </c>
      <c r="C58" s="25" t="s">
        <v>259</v>
      </c>
      <c r="D58" s="25" t="s">
        <v>260</v>
      </c>
      <c r="E58" s="27" t="s">
        <v>258</v>
      </c>
      <c r="F58" s="25" t="s">
        <v>272</v>
      </c>
      <c r="G58" s="25" t="s">
        <v>298</v>
      </c>
      <c r="H58" s="25" t="s">
        <v>299</v>
      </c>
      <c r="I58" s="22" t="s">
        <v>300</v>
      </c>
      <c r="J58" s="22" t="s">
        <v>38</v>
      </c>
      <c r="K58" s="22">
        <v>60</v>
      </c>
      <c r="L58" s="22" t="s">
        <v>39</v>
      </c>
      <c r="M58" s="22" t="s">
        <v>58</v>
      </c>
      <c r="N58" s="23" t="s">
        <v>55</v>
      </c>
      <c r="O58" s="23" t="s">
        <v>59</v>
      </c>
      <c r="P58" s="23" t="s">
        <v>60</v>
      </c>
      <c r="Q58" s="23">
        <v>3</v>
      </c>
      <c r="R58" s="23" t="s">
        <v>61</v>
      </c>
      <c r="S58" s="23"/>
      <c r="T58" s="23">
        <v>80</v>
      </c>
      <c r="U58" s="22" t="s">
        <v>58</v>
      </c>
      <c r="V58" s="23" t="s">
        <v>276</v>
      </c>
      <c r="W58" s="23"/>
      <c r="X58" s="23" t="e">
        <f>IF(COUNTIF(#REF!,_xlfn.TEXTJOIN(".",,C58,F58,H58)),"是","否")</f>
        <v>#REF!</v>
      </c>
      <c r="Y58" s="23" t="e">
        <f t="shared" si="25"/>
        <v>#REF!</v>
      </c>
      <c r="Z58" s="23"/>
      <c r="AA58" s="27" t="s">
        <v>55</v>
      </c>
      <c r="AB58" s="27" t="s">
        <v>60</v>
      </c>
      <c r="AC58" s="27">
        <v>3</v>
      </c>
      <c r="AD58" s="27" t="s">
        <v>61</v>
      </c>
      <c r="AE58" s="27"/>
      <c r="AF58" s="27">
        <v>80</v>
      </c>
      <c r="AG58" s="27"/>
      <c r="AH58" s="27" t="s">
        <v>58</v>
      </c>
      <c r="AI58" s="27" t="s">
        <v>276</v>
      </c>
      <c r="AJ58" s="1" t="str">
        <f t="shared" si="26"/>
        <v>SYS.ELB.lbaas_instance_id.l7_qps_usage</v>
      </c>
      <c r="AK58" s="1"/>
      <c r="AL58" s="1"/>
    </row>
    <row r="59" spans="1:38" hidden="1" x14ac:dyDescent="0.25">
      <c r="A59" s="24">
        <f t="shared" si="24"/>
        <v>58</v>
      </c>
      <c r="B59" s="25" t="s">
        <v>258</v>
      </c>
      <c r="C59" s="25" t="s">
        <v>259</v>
      </c>
      <c r="D59" s="25" t="s">
        <v>260</v>
      </c>
      <c r="E59" s="27" t="s">
        <v>258</v>
      </c>
      <c r="F59" s="25" t="s">
        <v>272</v>
      </c>
      <c r="G59" s="25" t="s">
        <v>261</v>
      </c>
      <c r="H59" s="25" t="s">
        <v>262</v>
      </c>
      <c r="I59" s="25" t="s">
        <v>263</v>
      </c>
      <c r="J59" s="25" t="s">
        <v>38</v>
      </c>
      <c r="K59" s="25">
        <v>60</v>
      </c>
      <c r="L59" s="25"/>
      <c r="M59" s="25" t="s">
        <v>83</v>
      </c>
      <c r="N59" s="23" t="s">
        <v>55</v>
      </c>
      <c r="O59" s="23" t="s">
        <v>59</v>
      </c>
      <c r="P59" s="23" t="s">
        <v>60</v>
      </c>
      <c r="Q59" s="23">
        <v>3</v>
      </c>
      <c r="R59" s="23" t="s">
        <v>61</v>
      </c>
      <c r="S59" s="23">
        <v>40000</v>
      </c>
      <c r="T59" s="23">
        <v>45000</v>
      </c>
      <c r="U59" s="23" t="s">
        <v>83</v>
      </c>
      <c r="V59" s="23" t="s">
        <v>62</v>
      </c>
      <c r="W59" s="23"/>
      <c r="X59" s="23" t="e">
        <f>IF(COUNTIF(#REF!,_xlfn.TEXTJOIN(".",,C59,F59,H59)),"是","否")</f>
        <v>#REF!</v>
      </c>
      <c r="Y59" s="23" t="e">
        <f t="shared" si="25"/>
        <v>#REF!</v>
      </c>
      <c r="Z59" s="23" t="s">
        <v>55</v>
      </c>
      <c r="AA59" s="27" t="s">
        <v>55</v>
      </c>
      <c r="AB59" s="27" t="s">
        <v>60</v>
      </c>
      <c r="AC59" s="27">
        <v>3</v>
      </c>
      <c r="AD59" s="27" t="s">
        <v>61</v>
      </c>
      <c r="AE59" s="27"/>
      <c r="AF59" s="27">
        <v>40000</v>
      </c>
      <c r="AG59" s="27" t="s">
        <v>301</v>
      </c>
      <c r="AH59" s="27"/>
      <c r="AI59" s="27" t="s">
        <v>276</v>
      </c>
      <c r="AJ59" s="1" t="str">
        <f t="shared" si="26"/>
        <v>SYS.ELB.lbaas_instance_id.m1_cps</v>
      </c>
      <c r="AK59" s="1" t="s">
        <v>152</v>
      </c>
      <c r="AL59" s="1" t="s">
        <v>55</v>
      </c>
    </row>
    <row r="60" spans="1:38" hidden="1" x14ac:dyDescent="0.25">
      <c r="A60" s="24">
        <f t="shared" si="24"/>
        <v>59</v>
      </c>
      <c r="B60" s="25" t="s">
        <v>258</v>
      </c>
      <c r="C60" s="25" t="s">
        <v>259</v>
      </c>
      <c r="D60" s="25" t="s">
        <v>260</v>
      </c>
      <c r="E60" s="27" t="s">
        <v>258</v>
      </c>
      <c r="F60" s="25" t="s">
        <v>272</v>
      </c>
      <c r="G60" s="25" t="s">
        <v>265</v>
      </c>
      <c r="H60" s="25" t="s">
        <v>266</v>
      </c>
      <c r="I60" s="25" t="s">
        <v>267</v>
      </c>
      <c r="J60" s="25" t="s">
        <v>38</v>
      </c>
      <c r="K60" s="25">
        <v>60</v>
      </c>
      <c r="L60" s="25"/>
      <c r="M60" s="25" t="s">
        <v>268</v>
      </c>
      <c r="N60" s="23" t="s">
        <v>55</v>
      </c>
      <c r="O60" s="23" t="s">
        <v>59</v>
      </c>
      <c r="P60" s="23" t="s">
        <v>60</v>
      </c>
      <c r="Q60" s="23">
        <v>3</v>
      </c>
      <c r="R60" s="23" t="s">
        <v>61</v>
      </c>
      <c r="S60" s="23">
        <v>4000</v>
      </c>
      <c r="T60" s="23">
        <v>4500</v>
      </c>
      <c r="U60" s="23" t="s">
        <v>268</v>
      </c>
      <c r="V60" s="23" t="s">
        <v>62</v>
      </c>
      <c r="W60" s="23"/>
      <c r="X60" s="23" t="e">
        <f>IF(COUNTIF(#REF!,_xlfn.TEXTJOIN(".",,C60,F60,H60)),"是","否")</f>
        <v>#REF!</v>
      </c>
      <c r="Y60" s="23" t="e">
        <f t="shared" si="25"/>
        <v>#REF!</v>
      </c>
      <c r="Z60" s="23" t="s">
        <v>55</v>
      </c>
      <c r="AA60" s="27" t="s">
        <v>55</v>
      </c>
      <c r="AB60" s="27" t="s">
        <v>60</v>
      </c>
      <c r="AC60" s="27">
        <v>3</v>
      </c>
      <c r="AD60" s="27" t="s">
        <v>61</v>
      </c>
      <c r="AE60" s="27"/>
      <c r="AF60" s="27">
        <v>4000</v>
      </c>
      <c r="AG60" s="27" t="s">
        <v>301</v>
      </c>
      <c r="AH60" s="27"/>
      <c r="AI60" s="27" t="s">
        <v>276</v>
      </c>
      <c r="AJ60" s="1" t="str">
        <f t="shared" si="26"/>
        <v>SYS.ELB.lbaas_instance_id.m4_ncps</v>
      </c>
      <c r="AK60" s="1" t="s">
        <v>152</v>
      </c>
      <c r="AL60" s="1" t="s">
        <v>55</v>
      </c>
    </row>
    <row r="61" spans="1:38" hidden="1" x14ac:dyDescent="0.25">
      <c r="A61" s="24">
        <f t="shared" si="24"/>
        <v>60</v>
      </c>
      <c r="B61" s="25" t="s">
        <v>258</v>
      </c>
      <c r="C61" s="25" t="s">
        <v>259</v>
      </c>
      <c r="D61" s="25" t="s">
        <v>260</v>
      </c>
      <c r="E61" s="27" t="s">
        <v>258</v>
      </c>
      <c r="F61" s="25" t="s">
        <v>272</v>
      </c>
      <c r="G61" s="25" t="s">
        <v>269</v>
      </c>
      <c r="H61" s="25" t="s">
        <v>270</v>
      </c>
      <c r="I61" s="25" t="s">
        <v>271</v>
      </c>
      <c r="J61" s="25" t="s">
        <v>38</v>
      </c>
      <c r="K61" s="25">
        <v>60</v>
      </c>
      <c r="L61" s="25"/>
      <c r="M61" s="25" t="s">
        <v>83</v>
      </c>
      <c r="N61" s="23" t="s">
        <v>55</v>
      </c>
      <c r="O61" s="23" t="s">
        <v>59</v>
      </c>
      <c r="P61" s="23" t="s">
        <v>60</v>
      </c>
      <c r="Q61" s="23">
        <v>3</v>
      </c>
      <c r="R61" s="23" t="s">
        <v>61</v>
      </c>
      <c r="S61" s="23"/>
      <c r="T61" s="23">
        <v>0</v>
      </c>
      <c r="U61" s="23" t="s">
        <v>83</v>
      </c>
      <c r="V61" s="23" t="s">
        <v>62</v>
      </c>
      <c r="W61" s="23"/>
      <c r="X61" s="23" t="e">
        <f>IF(COUNTIF(#REF!,_xlfn.TEXTJOIN(".",,C61,F61,H61)),"是","否")</f>
        <v>#REF!</v>
      </c>
      <c r="Y61" s="23" t="e">
        <f t="shared" si="25"/>
        <v>#REF!</v>
      </c>
      <c r="Z61" s="23" t="s">
        <v>55</v>
      </c>
      <c r="AA61" s="23"/>
      <c r="AB61" s="23"/>
      <c r="AC61" s="23"/>
      <c r="AD61" s="23"/>
      <c r="AE61" s="23"/>
      <c r="AF61" s="23"/>
      <c r="AG61" s="23"/>
      <c r="AH61" s="23"/>
      <c r="AI61" s="23"/>
      <c r="AJ61" s="1" t="str">
        <f t="shared" si="26"/>
        <v>SYS.ELB.lbaas_instance_id.m9_abnormal_servers</v>
      </c>
      <c r="AK61" s="1" t="s">
        <v>302</v>
      </c>
      <c r="AL61" s="1" t="s">
        <v>55</v>
      </c>
    </row>
    <row r="62" spans="1:38" hidden="1" x14ac:dyDescent="0.25">
      <c r="A62" s="24">
        <f t="shared" ref="A62:A64" si="27">ROW()-1</f>
        <v>61</v>
      </c>
      <c r="B62" s="25" t="s">
        <v>258</v>
      </c>
      <c r="C62" s="25" t="s">
        <v>259</v>
      </c>
      <c r="D62" s="25" t="s">
        <v>260</v>
      </c>
      <c r="E62" s="27" t="s">
        <v>258</v>
      </c>
      <c r="F62" s="25" t="s">
        <v>272</v>
      </c>
      <c r="G62" s="25" t="s">
        <v>309</v>
      </c>
      <c r="H62" s="25" t="s">
        <v>310</v>
      </c>
      <c r="I62" s="25" t="s">
        <v>311</v>
      </c>
      <c r="J62" s="25" t="s">
        <v>38</v>
      </c>
      <c r="K62" s="25">
        <v>60</v>
      </c>
      <c r="L62" s="25" t="s">
        <v>45</v>
      </c>
      <c r="M62" s="25" t="s">
        <v>268</v>
      </c>
      <c r="N62" s="23" t="s">
        <v>55</v>
      </c>
      <c r="O62" s="23" t="s">
        <v>59</v>
      </c>
      <c r="P62" s="23" t="s">
        <v>60</v>
      </c>
      <c r="Q62" s="23">
        <v>3</v>
      </c>
      <c r="R62" s="23" t="s">
        <v>61</v>
      </c>
      <c r="S62" s="23"/>
      <c r="T62" s="23">
        <v>0</v>
      </c>
      <c r="U62" s="23" t="s">
        <v>268</v>
      </c>
      <c r="V62" s="23" t="s">
        <v>62</v>
      </c>
      <c r="W62" s="23"/>
      <c r="X62" s="23" t="e">
        <f>IF(COUNTIF(#REF!,_xlfn.TEXTJOIN(".",,C62,F62,H62)),"是","否")</f>
        <v>#REF!</v>
      </c>
      <c r="Y62" s="23" t="e">
        <f t="shared" ref="Y62:Y64" si="28">IF(AND(O62="底线指标",X62="是"),"是","否")</f>
        <v>#REF!</v>
      </c>
      <c r="Z62" s="23" t="s">
        <v>55</v>
      </c>
      <c r="AA62" s="23"/>
      <c r="AB62" s="23"/>
      <c r="AC62" s="23"/>
      <c r="AD62" s="23"/>
      <c r="AE62" s="23"/>
      <c r="AF62" s="23"/>
      <c r="AG62" s="23"/>
      <c r="AH62" s="23"/>
      <c r="AI62" s="23"/>
      <c r="AJ62" s="1" t="str">
        <f t="shared" ref="AJ62:AJ64" si="29">_xlfn.TEXTJOIN(".",TRUE,C62,F62,H62)</f>
        <v>SYS.ELB.lbaas_instance_id.dropped_connections</v>
      </c>
      <c r="AK62" s="1" t="s">
        <v>302</v>
      </c>
      <c r="AL62" s="1" t="s">
        <v>55</v>
      </c>
    </row>
    <row r="63" spans="1:38" hidden="1" x14ac:dyDescent="0.25">
      <c r="A63" s="24">
        <f t="shared" si="27"/>
        <v>62</v>
      </c>
      <c r="B63" s="25" t="s">
        <v>258</v>
      </c>
      <c r="C63" s="25" t="s">
        <v>259</v>
      </c>
      <c r="D63" s="25" t="s">
        <v>260</v>
      </c>
      <c r="E63" s="27" t="s">
        <v>258</v>
      </c>
      <c r="F63" s="25" t="s">
        <v>272</v>
      </c>
      <c r="G63" s="25" t="s">
        <v>312</v>
      </c>
      <c r="H63" s="25" t="s">
        <v>313</v>
      </c>
      <c r="I63" s="25" t="s">
        <v>314</v>
      </c>
      <c r="J63" s="25" t="s">
        <v>38</v>
      </c>
      <c r="K63" s="25">
        <v>60</v>
      </c>
      <c r="L63" s="25" t="s">
        <v>45</v>
      </c>
      <c r="M63" s="25" t="s">
        <v>268</v>
      </c>
      <c r="N63" s="23" t="s">
        <v>55</v>
      </c>
      <c r="O63" s="23" t="s">
        <v>59</v>
      </c>
      <c r="P63" s="23" t="s">
        <v>60</v>
      </c>
      <c r="Q63" s="23">
        <v>3</v>
      </c>
      <c r="R63" s="23" t="s">
        <v>61</v>
      </c>
      <c r="S63" s="23"/>
      <c r="T63" s="23">
        <v>0</v>
      </c>
      <c r="U63" s="23" t="s">
        <v>268</v>
      </c>
      <c r="V63" s="23" t="s">
        <v>62</v>
      </c>
      <c r="W63" s="23"/>
      <c r="X63" s="23" t="e">
        <f>IF(COUNTIF(#REF!,_xlfn.TEXTJOIN(".",,C63,F63,H63)),"是","否")</f>
        <v>#REF!</v>
      </c>
      <c r="Y63" s="23" t="e">
        <f t="shared" si="28"/>
        <v>#REF!</v>
      </c>
      <c r="Z63" s="23" t="s">
        <v>55</v>
      </c>
      <c r="AA63" s="23"/>
      <c r="AB63" s="23"/>
      <c r="AC63" s="23"/>
      <c r="AD63" s="23"/>
      <c r="AE63" s="23"/>
      <c r="AF63" s="23"/>
      <c r="AG63" s="23"/>
      <c r="AH63" s="23"/>
      <c r="AI63" s="23"/>
      <c r="AJ63" s="1" t="str">
        <f t="shared" si="29"/>
        <v>SYS.ELB.lbaas_instance_id.dropped_packets</v>
      </c>
      <c r="AK63" s="1" t="s">
        <v>302</v>
      </c>
      <c r="AL63" s="1" t="s">
        <v>55</v>
      </c>
    </row>
    <row r="64" spans="1:38" hidden="1" x14ac:dyDescent="0.25">
      <c r="A64" s="24">
        <f t="shared" si="27"/>
        <v>63</v>
      </c>
      <c r="B64" s="25" t="s">
        <v>258</v>
      </c>
      <c r="C64" s="25" t="s">
        <v>259</v>
      </c>
      <c r="D64" s="25" t="s">
        <v>260</v>
      </c>
      <c r="E64" s="27" t="s">
        <v>258</v>
      </c>
      <c r="F64" s="25" t="s">
        <v>272</v>
      </c>
      <c r="G64" s="25" t="s">
        <v>315</v>
      </c>
      <c r="H64" s="25" t="s">
        <v>316</v>
      </c>
      <c r="I64" s="25" t="s">
        <v>317</v>
      </c>
      <c r="J64" s="25" t="s">
        <v>38</v>
      </c>
      <c r="K64" s="25">
        <v>60</v>
      </c>
      <c r="L64" s="25" t="s">
        <v>39</v>
      </c>
      <c r="M64" s="25" t="s">
        <v>40</v>
      </c>
      <c r="N64" s="23" t="s">
        <v>55</v>
      </c>
      <c r="O64" s="23" t="s">
        <v>59</v>
      </c>
      <c r="P64" s="23" t="s">
        <v>60</v>
      </c>
      <c r="Q64" s="23">
        <v>3</v>
      </c>
      <c r="R64" s="23" t="s">
        <v>61</v>
      </c>
      <c r="S64" s="23"/>
      <c r="T64" s="23">
        <v>0</v>
      </c>
      <c r="U64" s="23" t="s">
        <v>40</v>
      </c>
      <c r="V64" s="23" t="s">
        <v>62</v>
      </c>
      <c r="W64" s="23"/>
      <c r="X64" s="23" t="e">
        <f>IF(COUNTIF(#REF!,_xlfn.TEXTJOIN(".",,C64,F64,H64)),"是","否")</f>
        <v>#REF!</v>
      </c>
      <c r="Y64" s="23" t="e">
        <f t="shared" si="28"/>
        <v>#REF!</v>
      </c>
      <c r="Z64" s="23" t="s">
        <v>55</v>
      </c>
      <c r="AA64" s="23"/>
      <c r="AB64" s="23"/>
      <c r="AC64" s="23"/>
      <c r="AD64" s="23"/>
      <c r="AE64" s="23"/>
      <c r="AF64" s="23"/>
      <c r="AG64" s="23"/>
      <c r="AH64" s="23"/>
      <c r="AI64" s="23"/>
      <c r="AJ64" s="1" t="str">
        <f t="shared" si="29"/>
        <v>SYS.ELB.lbaas_instance_id.dropped_traffic</v>
      </c>
      <c r="AK64" s="1" t="s">
        <v>302</v>
      </c>
      <c r="AL64" s="1" t="s">
        <v>55</v>
      </c>
    </row>
    <row r="65" spans="1:38" hidden="1" x14ac:dyDescent="0.25">
      <c r="A65" s="24">
        <f t="shared" ref="A65:A77" si="30">ROW()-1</f>
        <v>64</v>
      </c>
      <c r="B65" s="25" t="s">
        <v>258</v>
      </c>
      <c r="C65" s="25" t="s">
        <v>259</v>
      </c>
      <c r="D65" s="25" t="s">
        <v>260</v>
      </c>
      <c r="E65" s="27" t="s">
        <v>327</v>
      </c>
      <c r="F65" s="25" t="s">
        <v>328</v>
      </c>
      <c r="G65" s="25" t="s">
        <v>280</v>
      </c>
      <c r="H65" s="25" t="s">
        <v>281</v>
      </c>
      <c r="I65" s="25" t="s">
        <v>282</v>
      </c>
      <c r="J65" s="25" t="s">
        <v>38</v>
      </c>
      <c r="K65" s="25">
        <v>60</v>
      </c>
      <c r="L65" s="25" t="s">
        <v>39</v>
      </c>
      <c r="M65" s="25" t="s">
        <v>58</v>
      </c>
      <c r="N65" s="23" t="s">
        <v>55</v>
      </c>
      <c r="O65" s="23" t="s">
        <v>59</v>
      </c>
      <c r="P65" s="23" t="s">
        <v>60</v>
      </c>
      <c r="Q65" s="23">
        <v>3</v>
      </c>
      <c r="R65" s="23" t="s">
        <v>61</v>
      </c>
      <c r="S65" s="23">
        <v>80</v>
      </c>
      <c r="T65" s="23">
        <v>90</v>
      </c>
      <c r="U65" s="23" t="s">
        <v>58</v>
      </c>
      <c r="V65" s="23" t="s">
        <v>62</v>
      </c>
      <c r="W65" s="23"/>
      <c r="X65" s="23" t="e">
        <f>IF(COUNTIF(#REF!,_xlfn.TEXTJOIN(".",,C65,F65,H65)),"是","否")</f>
        <v>#REF!</v>
      </c>
      <c r="Y65" s="23" t="e">
        <f t="shared" ref="Y65:Y77" si="31">IF(AND(O65="底线指标",X65="是"),"是","否")</f>
        <v>#REF!</v>
      </c>
      <c r="Z65" s="23" t="s">
        <v>55</v>
      </c>
      <c r="AA65" s="27" t="s">
        <v>55</v>
      </c>
      <c r="AB65" s="27" t="s">
        <v>60</v>
      </c>
      <c r="AC65" s="27">
        <v>3</v>
      </c>
      <c r="AD65" s="27" t="s">
        <v>61</v>
      </c>
      <c r="AE65" s="27"/>
      <c r="AF65" s="27">
        <v>80</v>
      </c>
      <c r="AG65" s="27"/>
      <c r="AH65" s="27" t="s">
        <v>58</v>
      </c>
      <c r="AI65" s="27" t="s">
        <v>276</v>
      </c>
      <c r="AJ65" s="1" t="str">
        <f t="shared" ref="AJ65:AJ77" si="32">_xlfn.TEXTJOIN(".",TRUE,C65,F65,H65)</f>
        <v>SYS.ELB.lbaas_instance_id,available_zone.l4_ncps_usage</v>
      </c>
      <c r="AK65" s="1" t="s">
        <v>152</v>
      </c>
      <c r="AL65" s="1" t="s">
        <v>55</v>
      </c>
    </row>
    <row r="66" spans="1:38" hidden="1" x14ac:dyDescent="0.25">
      <c r="A66" s="24">
        <f t="shared" si="30"/>
        <v>65</v>
      </c>
      <c r="B66" s="25" t="s">
        <v>258</v>
      </c>
      <c r="C66" s="25" t="s">
        <v>259</v>
      </c>
      <c r="D66" s="25" t="s">
        <v>260</v>
      </c>
      <c r="E66" s="27" t="s">
        <v>327</v>
      </c>
      <c r="F66" s="25" t="s">
        <v>328</v>
      </c>
      <c r="G66" s="25" t="s">
        <v>273</v>
      </c>
      <c r="H66" s="25" t="s">
        <v>274</v>
      </c>
      <c r="I66" s="25" t="s">
        <v>275</v>
      </c>
      <c r="J66" s="25" t="s">
        <v>38</v>
      </c>
      <c r="K66" s="25">
        <v>60</v>
      </c>
      <c r="L66" s="25" t="s">
        <v>39</v>
      </c>
      <c r="M66" s="25" t="s">
        <v>58</v>
      </c>
      <c r="N66" s="23" t="s">
        <v>55</v>
      </c>
      <c r="O66" s="23" t="s">
        <v>59</v>
      </c>
      <c r="P66" s="23" t="s">
        <v>60</v>
      </c>
      <c r="Q66" s="23">
        <v>3</v>
      </c>
      <c r="R66" s="23" t="s">
        <v>61</v>
      </c>
      <c r="S66" s="23">
        <v>80</v>
      </c>
      <c r="T66" s="23">
        <v>90</v>
      </c>
      <c r="U66" s="23" t="s">
        <v>58</v>
      </c>
      <c r="V66" s="23" t="s">
        <v>62</v>
      </c>
      <c r="W66" s="23"/>
      <c r="X66" s="23" t="e">
        <f>IF(COUNTIF(#REF!,_xlfn.TEXTJOIN(".",,C66,F66,H66)),"是","否")</f>
        <v>#REF!</v>
      </c>
      <c r="Y66" s="23" t="e">
        <f t="shared" si="31"/>
        <v>#REF!</v>
      </c>
      <c r="Z66" s="23" t="s">
        <v>55</v>
      </c>
      <c r="AA66" s="27" t="s">
        <v>55</v>
      </c>
      <c r="AB66" s="27" t="s">
        <v>60</v>
      </c>
      <c r="AC66" s="27">
        <v>3</v>
      </c>
      <c r="AD66" s="27" t="s">
        <v>61</v>
      </c>
      <c r="AE66" s="27"/>
      <c r="AF66" s="27">
        <v>80</v>
      </c>
      <c r="AG66" s="27"/>
      <c r="AH66" s="27" t="s">
        <v>58</v>
      </c>
      <c r="AI66" s="27" t="s">
        <v>276</v>
      </c>
      <c r="AJ66" s="1" t="str">
        <f t="shared" si="32"/>
        <v>SYS.ELB.lbaas_instance_id,available_zone.l4_con_usage</v>
      </c>
      <c r="AK66" s="1" t="s">
        <v>152</v>
      </c>
      <c r="AL66" s="1" t="s">
        <v>55</v>
      </c>
    </row>
    <row r="67" spans="1:38" hidden="1" x14ac:dyDescent="0.25">
      <c r="A67" s="24">
        <f t="shared" si="30"/>
        <v>66</v>
      </c>
      <c r="B67" s="25" t="s">
        <v>258</v>
      </c>
      <c r="C67" s="25" t="s">
        <v>259</v>
      </c>
      <c r="D67" s="25" t="s">
        <v>260</v>
      </c>
      <c r="E67" s="27" t="s">
        <v>327</v>
      </c>
      <c r="F67" s="25" t="s">
        <v>328</v>
      </c>
      <c r="G67" s="25" t="s">
        <v>277</v>
      </c>
      <c r="H67" s="25" t="s">
        <v>278</v>
      </c>
      <c r="I67" s="25" t="s">
        <v>279</v>
      </c>
      <c r="J67" s="25" t="s">
        <v>38</v>
      </c>
      <c r="K67" s="25">
        <v>60</v>
      </c>
      <c r="L67" s="25" t="s">
        <v>39</v>
      </c>
      <c r="M67" s="25" t="s">
        <v>58</v>
      </c>
      <c r="N67" s="23" t="s">
        <v>55</v>
      </c>
      <c r="O67" s="23" t="s">
        <v>59</v>
      </c>
      <c r="P67" s="23" t="s">
        <v>60</v>
      </c>
      <c r="Q67" s="23">
        <v>3</v>
      </c>
      <c r="R67" s="23" t="s">
        <v>61</v>
      </c>
      <c r="S67" s="23">
        <v>80</v>
      </c>
      <c r="T67" s="23">
        <v>90</v>
      </c>
      <c r="U67" s="23" t="s">
        <v>58</v>
      </c>
      <c r="V67" s="23" t="s">
        <v>62</v>
      </c>
      <c r="W67" s="23"/>
      <c r="X67" s="23" t="e">
        <f>IF(COUNTIF(#REF!,_xlfn.TEXTJOIN(".",,C67,F67,H67)),"是","否")</f>
        <v>#REF!</v>
      </c>
      <c r="Y67" s="23" t="e">
        <f t="shared" si="31"/>
        <v>#REF!</v>
      </c>
      <c r="Z67" s="23" t="s">
        <v>55</v>
      </c>
      <c r="AA67" s="27" t="s">
        <v>55</v>
      </c>
      <c r="AB67" s="27" t="s">
        <v>60</v>
      </c>
      <c r="AC67" s="27">
        <v>3</v>
      </c>
      <c r="AD67" s="27" t="s">
        <v>61</v>
      </c>
      <c r="AE67" s="27">
        <v>80</v>
      </c>
      <c r="AF67" s="27"/>
      <c r="AG67" s="27"/>
      <c r="AH67" s="27" t="s">
        <v>58</v>
      </c>
      <c r="AI67" s="27" t="s">
        <v>276</v>
      </c>
      <c r="AJ67" s="1" t="str">
        <f t="shared" si="32"/>
        <v>SYS.ELB.lbaas_instance_id,available_zone.l4_in_bps_usage</v>
      </c>
      <c r="AK67" s="1" t="s">
        <v>152</v>
      </c>
      <c r="AL67" s="1" t="s">
        <v>55</v>
      </c>
    </row>
    <row r="68" spans="1:38" hidden="1" x14ac:dyDescent="0.25">
      <c r="A68" s="24">
        <f t="shared" si="30"/>
        <v>67</v>
      </c>
      <c r="B68" s="25" t="s">
        <v>258</v>
      </c>
      <c r="C68" s="25" t="s">
        <v>259</v>
      </c>
      <c r="D68" s="25" t="s">
        <v>260</v>
      </c>
      <c r="E68" s="27" t="s">
        <v>327</v>
      </c>
      <c r="F68" s="25" t="s">
        <v>328</v>
      </c>
      <c r="G68" s="25" t="s">
        <v>283</v>
      </c>
      <c r="H68" s="25" t="s">
        <v>284</v>
      </c>
      <c r="I68" s="25" t="s">
        <v>285</v>
      </c>
      <c r="J68" s="25" t="s">
        <v>38</v>
      </c>
      <c r="K68" s="25">
        <v>60</v>
      </c>
      <c r="L68" s="25" t="s">
        <v>39</v>
      </c>
      <c r="M68" s="25" t="s">
        <v>58</v>
      </c>
      <c r="N68" s="23" t="s">
        <v>55</v>
      </c>
      <c r="O68" s="23" t="s">
        <v>59</v>
      </c>
      <c r="P68" s="23" t="s">
        <v>60</v>
      </c>
      <c r="Q68" s="23">
        <v>3</v>
      </c>
      <c r="R68" s="23" t="s">
        <v>61</v>
      </c>
      <c r="S68" s="23">
        <v>80</v>
      </c>
      <c r="T68" s="23">
        <v>90</v>
      </c>
      <c r="U68" s="23" t="s">
        <v>58</v>
      </c>
      <c r="V68" s="23" t="s">
        <v>62</v>
      </c>
      <c r="W68" s="23"/>
      <c r="X68" s="23" t="e">
        <f>IF(COUNTIF(#REF!,_xlfn.TEXTJOIN(".",,C68,F68,H68)),"是","否")</f>
        <v>#REF!</v>
      </c>
      <c r="Y68" s="23" t="e">
        <f t="shared" si="31"/>
        <v>#REF!</v>
      </c>
      <c r="Z68" s="23" t="s">
        <v>55</v>
      </c>
      <c r="AA68" s="27" t="s">
        <v>55</v>
      </c>
      <c r="AB68" s="27" t="s">
        <v>60</v>
      </c>
      <c r="AC68" s="27">
        <v>3</v>
      </c>
      <c r="AD68" s="27" t="s">
        <v>61</v>
      </c>
      <c r="AE68" s="27">
        <v>80</v>
      </c>
      <c r="AF68" s="27"/>
      <c r="AG68" s="27"/>
      <c r="AH68" s="27" t="s">
        <v>58</v>
      </c>
      <c r="AI68" s="27" t="s">
        <v>276</v>
      </c>
      <c r="AJ68" s="1" t="str">
        <f t="shared" si="32"/>
        <v>SYS.ELB.lbaas_instance_id,available_zone.l4_out_bps_usage</v>
      </c>
      <c r="AK68" s="1" t="s">
        <v>152</v>
      </c>
      <c r="AL68" s="1" t="s">
        <v>55</v>
      </c>
    </row>
    <row r="69" spans="1:38" hidden="1" x14ac:dyDescent="0.25">
      <c r="A69" s="24">
        <f t="shared" si="30"/>
        <v>68</v>
      </c>
      <c r="B69" s="25" t="s">
        <v>258</v>
      </c>
      <c r="C69" s="25" t="s">
        <v>259</v>
      </c>
      <c r="D69" s="25" t="s">
        <v>260</v>
      </c>
      <c r="E69" s="27" t="s">
        <v>327</v>
      </c>
      <c r="F69" s="25" t="s">
        <v>328</v>
      </c>
      <c r="G69" s="25" t="s">
        <v>292</v>
      </c>
      <c r="H69" s="25" t="s">
        <v>293</v>
      </c>
      <c r="I69" s="25" t="s">
        <v>294</v>
      </c>
      <c r="J69" s="25" t="s">
        <v>38</v>
      </c>
      <c r="K69" s="25">
        <v>60</v>
      </c>
      <c r="L69" s="25" t="s">
        <v>39</v>
      </c>
      <c r="M69" s="25" t="s">
        <v>58</v>
      </c>
      <c r="N69" s="23" t="s">
        <v>55</v>
      </c>
      <c r="O69" s="23" t="s">
        <v>59</v>
      </c>
      <c r="P69" s="23" t="s">
        <v>60</v>
      </c>
      <c r="Q69" s="23">
        <v>3</v>
      </c>
      <c r="R69" s="23" t="s">
        <v>61</v>
      </c>
      <c r="S69" s="23">
        <v>80</v>
      </c>
      <c r="T69" s="23">
        <v>90</v>
      </c>
      <c r="U69" s="23" t="s">
        <v>58</v>
      </c>
      <c r="V69" s="23" t="s">
        <v>62</v>
      </c>
      <c r="W69" s="23"/>
      <c r="X69" s="23" t="e">
        <f>IF(COUNTIF(#REF!,_xlfn.TEXTJOIN(".",,C69,F69,H69)),"是","否")</f>
        <v>#REF!</v>
      </c>
      <c r="Y69" s="23" t="e">
        <f t="shared" si="31"/>
        <v>#REF!</v>
      </c>
      <c r="Z69" s="23" t="s">
        <v>55</v>
      </c>
      <c r="AA69" s="27" t="s">
        <v>55</v>
      </c>
      <c r="AB69" s="27" t="s">
        <v>60</v>
      </c>
      <c r="AC69" s="27">
        <v>3</v>
      </c>
      <c r="AD69" s="27" t="s">
        <v>61</v>
      </c>
      <c r="AE69" s="27"/>
      <c r="AF69" s="27">
        <v>80</v>
      </c>
      <c r="AG69" s="27"/>
      <c r="AH69" s="27" t="s">
        <v>58</v>
      </c>
      <c r="AI69" s="27" t="s">
        <v>276</v>
      </c>
      <c r="AJ69" s="1" t="str">
        <f t="shared" si="32"/>
        <v>SYS.ELB.lbaas_instance_id,available_zone.l7_ncps_usage</v>
      </c>
      <c r="AK69" s="1" t="s">
        <v>152</v>
      </c>
      <c r="AL69" s="1" t="s">
        <v>55</v>
      </c>
    </row>
    <row r="70" spans="1:38" hidden="1" x14ac:dyDescent="0.25">
      <c r="A70" s="24">
        <f t="shared" si="30"/>
        <v>69</v>
      </c>
      <c r="B70" s="25" t="s">
        <v>258</v>
      </c>
      <c r="C70" s="25" t="s">
        <v>259</v>
      </c>
      <c r="D70" s="25" t="s">
        <v>260</v>
      </c>
      <c r="E70" s="27" t="s">
        <v>327</v>
      </c>
      <c r="F70" s="25" t="s">
        <v>328</v>
      </c>
      <c r="G70" s="25" t="s">
        <v>286</v>
      </c>
      <c r="H70" s="25" t="s">
        <v>287</v>
      </c>
      <c r="I70" s="25" t="s">
        <v>288</v>
      </c>
      <c r="J70" s="25" t="s">
        <v>38</v>
      </c>
      <c r="K70" s="25">
        <v>60</v>
      </c>
      <c r="L70" s="25" t="s">
        <v>39</v>
      </c>
      <c r="M70" s="25" t="s">
        <v>58</v>
      </c>
      <c r="N70" s="23" t="s">
        <v>55</v>
      </c>
      <c r="O70" s="23" t="s">
        <v>59</v>
      </c>
      <c r="P70" s="23" t="s">
        <v>60</v>
      </c>
      <c r="Q70" s="23">
        <v>3</v>
      </c>
      <c r="R70" s="23" t="s">
        <v>61</v>
      </c>
      <c r="S70" s="23">
        <v>80</v>
      </c>
      <c r="T70" s="23">
        <v>90</v>
      </c>
      <c r="U70" s="23" t="s">
        <v>58</v>
      </c>
      <c r="V70" s="23" t="s">
        <v>62</v>
      </c>
      <c r="W70" s="23"/>
      <c r="X70" s="23" t="e">
        <f>IF(COUNTIF(#REF!,_xlfn.TEXTJOIN(".",,C70,F70,H70)),"是","否")</f>
        <v>#REF!</v>
      </c>
      <c r="Y70" s="23" t="e">
        <f t="shared" si="31"/>
        <v>#REF!</v>
      </c>
      <c r="Z70" s="23" t="s">
        <v>55</v>
      </c>
      <c r="AA70" s="27" t="s">
        <v>55</v>
      </c>
      <c r="AB70" s="27" t="s">
        <v>60</v>
      </c>
      <c r="AC70" s="27">
        <v>3</v>
      </c>
      <c r="AD70" s="27" t="s">
        <v>61</v>
      </c>
      <c r="AE70" s="27"/>
      <c r="AF70" s="27">
        <v>80</v>
      </c>
      <c r="AG70" s="27"/>
      <c r="AH70" s="27" t="s">
        <v>58</v>
      </c>
      <c r="AI70" s="27" t="s">
        <v>276</v>
      </c>
      <c r="AJ70" s="1" t="str">
        <f t="shared" si="32"/>
        <v>SYS.ELB.lbaas_instance_id,available_zone.l7_con_usage</v>
      </c>
      <c r="AK70" s="1" t="s">
        <v>152</v>
      </c>
      <c r="AL70" s="1" t="s">
        <v>55</v>
      </c>
    </row>
    <row r="71" spans="1:38" hidden="1" x14ac:dyDescent="0.25">
      <c r="A71" s="24">
        <f t="shared" si="30"/>
        <v>70</v>
      </c>
      <c r="B71" s="25" t="s">
        <v>258</v>
      </c>
      <c r="C71" s="25" t="s">
        <v>259</v>
      </c>
      <c r="D71" s="25" t="s">
        <v>260</v>
      </c>
      <c r="E71" s="27" t="s">
        <v>327</v>
      </c>
      <c r="F71" s="25" t="s">
        <v>328</v>
      </c>
      <c r="G71" s="25" t="s">
        <v>289</v>
      </c>
      <c r="H71" s="25" t="s">
        <v>290</v>
      </c>
      <c r="I71" s="25" t="s">
        <v>291</v>
      </c>
      <c r="J71" s="25" t="s">
        <v>38</v>
      </c>
      <c r="K71" s="25">
        <v>60</v>
      </c>
      <c r="L71" s="25" t="s">
        <v>39</v>
      </c>
      <c r="M71" s="25" t="s">
        <v>58</v>
      </c>
      <c r="N71" s="23" t="s">
        <v>55</v>
      </c>
      <c r="O71" s="23" t="s">
        <v>59</v>
      </c>
      <c r="P71" s="23" t="s">
        <v>60</v>
      </c>
      <c r="Q71" s="23">
        <v>3</v>
      </c>
      <c r="R71" s="23" t="s">
        <v>61</v>
      </c>
      <c r="S71" s="23">
        <v>80</v>
      </c>
      <c r="T71" s="23">
        <v>90</v>
      </c>
      <c r="U71" s="23" t="s">
        <v>58</v>
      </c>
      <c r="V71" s="23" t="s">
        <v>62</v>
      </c>
      <c r="W71" s="23"/>
      <c r="X71" s="23" t="e">
        <f>IF(COUNTIF(#REF!,_xlfn.TEXTJOIN(".",,C71,F71,H71)),"是","否")</f>
        <v>#REF!</v>
      </c>
      <c r="Y71" s="23" t="e">
        <f t="shared" si="31"/>
        <v>#REF!</v>
      </c>
      <c r="Z71" s="23" t="s">
        <v>55</v>
      </c>
      <c r="AA71" s="27" t="s">
        <v>55</v>
      </c>
      <c r="AB71" s="27" t="s">
        <v>60</v>
      </c>
      <c r="AC71" s="27">
        <v>3</v>
      </c>
      <c r="AD71" s="27" t="s">
        <v>61</v>
      </c>
      <c r="AE71" s="27">
        <v>80</v>
      </c>
      <c r="AF71" s="27"/>
      <c r="AG71" s="27"/>
      <c r="AH71" s="27" t="s">
        <v>58</v>
      </c>
      <c r="AI71" s="27" t="s">
        <v>276</v>
      </c>
      <c r="AJ71" s="1" t="str">
        <f t="shared" si="32"/>
        <v>SYS.ELB.lbaas_instance_id,available_zone.l7_in_bps_usage</v>
      </c>
      <c r="AK71" s="1" t="s">
        <v>152</v>
      </c>
      <c r="AL71" s="1" t="s">
        <v>55</v>
      </c>
    </row>
    <row r="72" spans="1:38" hidden="1" x14ac:dyDescent="0.25">
      <c r="A72" s="24">
        <f t="shared" si="30"/>
        <v>71</v>
      </c>
      <c r="B72" s="25" t="s">
        <v>258</v>
      </c>
      <c r="C72" s="25" t="s">
        <v>259</v>
      </c>
      <c r="D72" s="25" t="s">
        <v>260</v>
      </c>
      <c r="E72" s="27" t="s">
        <v>327</v>
      </c>
      <c r="F72" s="25" t="s">
        <v>328</v>
      </c>
      <c r="G72" s="25" t="s">
        <v>295</v>
      </c>
      <c r="H72" s="25" t="s">
        <v>296</v>
      </c>
      <c r="I72" s="25" t="s">
        <v>297</v>
      </c>
      <c r="J72" s="25" t="s">
        <v>38</v>
      </c>
      <c r="K72" s="25">
        <v>60</v>
      </c>
      <c r="L72" s="25" t="s">
        <v>39</v>
      </c>
      <c r="M72" s="25" t="s">
        <v>58</v>
      </c>
      <c r="N72" s="23" t="s">
        <v>55</v>
      </c>
      <c r="O72" s="23" t="s">
        <v>59</v>
      </c>
      <c r="P72" s="23" t="s">
        <v>60</v>
      </c>
      <c r="Q72" s="23">
        <v>3</v>
      </c>
      <c r="R72" s="23" t="s">
        <v>61</v>
      </c>
      <c r="S72" s="23">
        <v>80</v>
      </c>
      <c r="T72" s="23">
        <v>90</v>
      </c>
      <c r="U72" s="23" t="s">
        <v>58</v>
      </c>
      <c r="V72" s="23" t="s">
        <v>62</v>
      </c>
      <c r="W72" s="23"/>
      <c r="X72" s="23" t="e">
        <f>IF(COUNTIF(#REF!,_xlfn.TEXTJOIN(".",,C72,F72,H72)),"是","否")</f>
        <v>#REF!</v>
      </c>
      <c r="Y72" s="23" t="e">
        <f t="shared" si="31"/>
        <v>#REF!</v>
      </c>
      <c r="Z72" s="23" t="s">
        <v>55</v>
      </c>
      <c r="AA72" s="27" t="s">
        <v>55</v>
      </c>
      <c r="AB72" s="27" t="s">
        <v>60</v>
      </c>
      <c r="AC72" s="27">
        <v>3</v>
      </c>
      <c r="AD72" s="27" t="s">
        <v>61</v>
      </c>
      <c r="AE72" s="27">
        <v>80</v>
      </c>
      <c r="AF72" s="27"/>
      <c r="AG72" s="27"/>
      <c r="AH72" s="27" t="s">
        <v>58</v>
      </c>
      <c r="AI72" s="27" t="s">
        <v>276</v>
      </c>
      <c r="AJ72" s="1" t="str">
        <f t="shared" si="32"/>
        <v>SYS.ELB.lbaas_instance_id,available_zone.l7_out_bps_usage</v>
      </c>
      <c r="AK72" s="1" t="s">
        <v>152</v>
      </c>
      <c r="AL72" s="1" t="s">
        <v>55</v>
      </c>
    </row>
    <row r="73" spans="1:38" hidden="1" x14ac:dyDescent="0.25">
      <c r="A73" s="24">
        <f t="shared" si="30"/>
        <v>72</v>
      </c>
      <c r="B73" s="25" t="s">
        <v>258</v>
      </c>
      <c r="C73" s="25" t="s">
        <v>259</v>
      </c>
      <c r="D73" s="25" t="s">
        <v>260</v>
      </c>
      <c r="E73" s="27" t="s">
        <v>327</v>
      </c>
      <c r="F73" s="25" t="s">
        <v>328</v>
      </c>
      <c r="G73" s="25" t="s">
        <v>298</v>
      </c>
      <c r="H73" s="25" t="s">
        <v>299</v>
      </c>
      <c r="I73" s="25" t="s">
        <v>300</v>
      </c>
      <c r="J73" s="25" t="s">
        <v>38</v>
      </c>
      <c r="K73" s="25">
        <v>60</v>
      </c>
      <c r="L73" s="25" t="s">
        <v>39</v>
      </c>
      <c r="M73" s="25" t="s">
        <v>58</v>
      </c>
      <c r="N73" s="23" t="s">
        <v>55</v>
      </c>
      <c r="O73" s="23" t="s">
        <v>59</v>
      </c>
      <c r="P73" s="23" t="s">
        <v>60</v>
      </c>
      <c r="Q73" s="23">
        <v>3</v>
      </c>
      <c r="R73" s="23" t="s">
        <v>61</v>
      </c>
      <c r="S73" s="23">
        <v>80</v>
      </c>
      <c r="T73" s="23">
        <v>90</v>
      </c>
      <c r="U73" s="23" t="s">
        <v>58</v>
      </c>
      <c r="V73" s="23" t="s">
        <v>62</v>
      </c>
      <c r="W73" s="23"/>
      <c r="X73" s="23" t="e">
        <f>IF(COUNTIF(#REF!,_xlfn.TEXTJOIN(".",,C73,F73,H73)),"是","否")</f>
        <v>#REF!</v>
      </c>
      <c r="Y73" s="23" t="e">
        <f t="shared" si="31"/>
        <v>#REF!</v>
      </c>
      <c r="Z73" s="23" t="s">
        <v>55</v>
      </c>
      <c r="AA73" s="27" t="s">
        <v>55</v>
      </c>
      <c r="AB73" s="27" t="s">
        <v>60</v>
      </c>
      <c r="AC73" s="27">
        <v>3</v>
      </c>
      <c r="AD73" s="27" t="s">
        <v>61</v>
      </c>
      <c r="AE73" s="27"/>
      <c r="AF73" s="27">
        <v>80</v>
      </c>
      <c r="AG73" s="27"/>
      <c r="AH73" s="27" t="s">
        <v>58</v>
      </c>
      <c r="AI73" s="27" t="s">
        <v>276</v>
      </c>
      <c r="AJ73" s="1" t="str">
        <f t="shared" si="32"/>
        <v>SYS.ELB.lbaas_instance_id,available_zone.l7_qps_usage</v>
      </c>
      <c r="AK73" s="1" t="s">
        <v>152</v>
      </c>
      <c r="AL73" s="1" t="s">
        <v>55</v>
      </c>
    </row>
    <row r="74" spans="1:38" hidden="1" x14ac:dyDescent="0.25">
      <c r="A74" s="24">
        <f t="shared" si="30"/>
        <v>73</v>
      </c>
      <c r="B74" s="25" t="s">
        <v>258</v>
      </c>
      <c r="C74" s="25" t="s">
        <v>259</v>
      </c>
      <c r="D74" s="25" t="s">
        <v>260</v>
      </c>
      <c r="E74" s="27" t="s">
        <v>329</v>
      </c>
      <c r="F74" s="25" t="s">
        <v>330</v>
      </c>
      <c r="G74" s="25" t="s">
        <v>261</v>
      </c>
      <c r="H74" s="25" t="s">
        <v>262</v>
      </c>
      <c r="I74" s="25" t="s">
        <v>263</v>
      </c>
      <c r="J74" s="25" t="s">
        <v>38</v>
      </c>
      <c r="K74" s="25">
        <v>60</v>
      </c>
      <c r="L74" s="25"/>
      <c r="M74" s="25" t="s">
        <v>83</v>
      </c>
      <c r="N74" s="23" t="s">
        <v>55</v>
      </c>
      <c r="O74" s="23" t="s">
        <v>59</v>
      </c>
      <c r="P74" s="23" t="s">
        <v>60</v>
      </c>
      <c r="Q74" s="23">
        <v>1</v>
      </c>
      <c r="R74" s="23" t="s">
        <v>331</v>
      </c>
      <c r="S74" s="23"/>
      <c r="T74" s="23">
        <v>80</v>
      </c>
      <c r="U74" s="23" t="s">
        <v>58</v>
      </c>
      <c r="V74" s="23" t="s">
        <v>62</v>
      </c>
      <c r="W74" s="23"/>
      <c r="X74" s="23" t="e">
        <f>IF(COUNTIF(#REF!,_xlfn.TEXTJOIN(".",,C74,F74,H74)),"是","否")</f>
        <v>#REF!</v>
      </c>
      <c r="Y74" s="23" t="e">
        <f t="shared" si="31"/>
        <v>#REF!</v>
      </c>
      <c r="Z74" s="23" t="s">
        <v>55</v>
      </c>
      <c r="AA74" s="23"/>
      <c r="AB74" s="23"/>
      <c r="AC74" s="23"/>
      <c r="AD74" s="23"/>
      <c r="AE74" s="23"/>
      <c r="AF74" s="23"/>
      <c r="AG74" s="23"/>
      <c r="AH74" s="23"/>
      <c r="AI74" s="23"/>
      <c r="AJ74" s="1" t="str">
        <f t="shared" si="32"/>
        <v>SYS.ELB.lbaas_instance_id,lbaas_listener_id.m1_cps</v>
      </c>
      <c r="AK74" s="1" t="s">
        <v>152</v>
      </c>
      <c r="AL74" s="1" t="s">
        <v>55</v>
      </c>
    </row>
    <row r="75" spans="1:38" hidden="1" x14ac:dyDescent="0.25">
      <c r="A75" s="24">
        <f t="shared" si="30"/>
        <v>74</v>
      </c>
      <c r="B75" s="25" t="s">
        <v>258</v>
      </c>
      <c r="C75" s="25" t="s">
        <v>259</v>
      </c>
      <c r="D75" s="25" t="s">
        <v>260</v>
      </c>
      <c r="E75" s="27" t="s">
        <v>329</v>
      </c>
      <c r="F75" s="25" t="s">
        <v>330</v>
      </c>
      <c r="G75" s="25" t="s">
        <v>265</v>
      </c>
      <c r="H75" s="25" t="s">
        <v>266</v>
      </c>
      <c r="I75" s="25" t="s">
        <v>267</v>
      </c>
      <c r="J75" s="25" t="s">
        <v>38</v>
      </c>
      <c r="K75" s="25">
        <v>60</v>
      </c>
      <c r="L75" s="25"/>
      <c r="M75" s="25" t="s">
        <v>268</v>
      </c>
      <c r="N75" s="23" t="s">
        <v>55</v>
      </c>
      <c r="O75" s="23" t="s">
        <v>59</v>
      </c>
      <c r="P75" s="23" t="s">
        <v>60</v>
      </c>
      <c r="Q75" s="23">
        <v>1</v>
      </c>
      <c r="R75" s="23" t="s">
        <v>331</v>
      </c>
      <c r="S75" s="23"/>
      <c r="T75" s="23">
        <v>80</v>
      </c>
      <c r="U75" s="23" t="s">
        <v>58</v>
      </c>
      <c r="V75" s="23" t="s">
        <v>62</v>
      </c>
      <c r="W75" s="23"/>
      <c r="X75" s="23" t="e">
        <f>IF(COUNTIF(#REF!,_xlfn.TEXTJOIN(".",,C75,F75,H75)),"是","否")</f>
        <v>#REF!</v>
      </c>
      <c r="Y75" s="23" t="e">
        <f t="shared" si="31"/>
        <v>#REF!</v>
      </c>
      <c r="Z75" s="23" t="s">
        <v>55</v>
      </c>
      <c r="AA75" s="23"/>
      <c r="AB75" s="23"/>
      <c r="AC75" s="23"/>
      <c r="AD75" s="23"/>
      <c r="AE75" s="23"/>
      <c r="AF75" s="23"/>
      <c r="AG75" s="23"/>
      <c r="AH75" s="23"/>
      <c r="AI75" s="23"/>
      <c r="AJ75" s="1" t="str">
        <f t="shared" si="32"/>
        <v>SYS.ELB.lbaas_instance_id,lbaas_listener_id.m4_ncps</v>
      </c>
      <c r="AK75" s="1" t="s">
        <v>152</v>
      </c>
      <c r="AL75" s="1" t="s">
        <v>55</v>
      </c>
    </row>
    <row r="76" spans="1:38" hidden="1" x14ac:dyDescent="0.25">
      <c r="A76" s="24">
        <f t="shared" si="30"/>
        <v>75</v>
      </c>
      <c r="B76" s="25" t="s">
        <v>258</v>
      </c>
      <c r="C76" s="25" t="s">
        <v>259</v>
      </c>
      <c r="D76" s="25" t="s">
        <v>260</v>
      </c>
      <c r="E76" s="27" t="s">
        <v>329</v>
      </c>
      <c r="F76" s="25" t="s">
        <v>330</v>
      </c>
      <c r="G76" s="25" t="s">
        <v>303</v>
      </c>
      <c r="H76" s="25" t="s">
        <v>304</v>
      </c>
      <c r="I76" s="25" t="s">
        <v>305</v>
      </c>
      <c r="J76" s="25" t="s">
        <v>38</v>
      </c>
      <c r="K76" s="25">
        <v>60</v>
      </c>
      <c r="L76" s="25"/>
      <c r="M76" s="25" t="s">
        <v>268</v>
      </c>
      <c r="N76" s="23" t="s">
        <v>55</v>
      </c>
      <c r="O76" s="23" t="s">
        <v>59</v>
      </c>
      <c r="P76" s="23" t="s">
        <v>60</v>
      </c>
      <c r="Q76" s="23">
        <v>1</v>
      </c>
      <c r="R76" s="23" t="s">
        <v>334</v>
      </c>
      <c r="S76" s="23"/>
      <c r="T76" s="23">
        <v>50</v>
      </c>
      <c r="U76" s="23" t="s">
        <v>58</v>
      </c>
      <c r="V76" s="23" t="s">
        <v>62</v>
      </c>
      <c r="W76" s="23"/>
      <c r="X76" s="23" t="e">
        <f>IF(COUNTIF(#REF!,_xlfn.TEXTJOIN(".",,C76,F76,H76)),"是","否")</f>
        <v>#REF!</v>
      </c>
      <c r="Y76" s="23" t="e">
        <f t="shared" si="31"/>
        <v>#REF!</v>
      </c>
      <c r="Z76" s="23" t="s">
        <v>55</v>
      </c>
      <c r="AA76" s="27" t="s">
        <v>55</v>
      </c>
      <c r="AB76" s="27" t="s">
        <v>60</v>
      </c>
      <c r="AC76" s="27">
        <v>1</v>
      </c>
      <c r="AD76" s="27" t="s">
        <v>332</v>
      </c>
      <c r="AE76" s="27" t="s">
        <v>333</v>
      </c>
      <c r="AF76" s="27"/>
      <c r="AG76" s="27"/>
      <c r="AH76" s="27" t="s">
        <v>58</v>
      </c>
      <c r="AI76" s="27" t="s">
        <v>276</v>
      </c>
      <c r="AJ76" s="1" t="str">
        <f t="shared" si="32"/>
        <v>SYS.ELB.lbaas_instance_id,lbaas_listener_id.mf_l7_http_5xx</v>
      </c>
      <c r="AK76" s="1" t="s">
        <v>302</v>
      </c>
      <c r="AL76" s="1" t="s">
        <v>55</v>
      </c>
    </row>
    <row r="77" spans="1:38" hidden="1" x14ac:dyDescent="0.25">
      <c r="A77" s="24">
        <f t="shared" si="30"/>
        <v>76</v>
      </c>
      <c r="B77" s="25" t="s">
        <v>258</v>
      </c>
      <c r="C77" s="25" t="s">
        <v>259</v>
      </c>
      <c r="D77" s="25" t="s">
        <v>260</v>
      </c>
      <c r="E77" s="27" t="s">
        <v>329</v>
      </c>
      <c r="F77" s="25" t="s">
        <v>330</v>
      </c>
      <c r="G77" s="25" t="s">
        <v>306</v>
      </c>
      <c r="H77" s="25" t="s">
        <v>307</v>
      </c>
      <c r="I77" s="25" t="s">
        <v>308</v>
      </c>
      <c r="J77" s="25" t="s">
        <v>38</v>
      </c>
      <c r="K77" s="25">
        <v>60</v>
      </c>
      <c r="L77" s="25"/>
      <c r="M77" s="25" t="s">
        <v>139</v>
      </c>
      <c r="N77" s="23" t="s">
        <v>55</v>
      </c>
      <c r="O77" s="23" t="s">
        <v>59</v>
      </c>
      <c r="P77" s="23" t="s">
        <v>60</v>
      </c>
      <c r="Q77" s="23">
        <v>1</v>
      </c>
      <c r="R77" s="23" t="s">
        <v>334</v>
      </c>
      <c r="S77" s="23"/>
      <c r="T77" s="23">
        <v>50</v>
      </c>
      <c r="U77" s="23" t="s">
        <v>58</v>
      </c>
      <c r="V77" s="23" t="s">
        <v>62</v>
      </c>
      <c r="W77" s="23"/>
      <c r="X77" s="23" t="e">
        <f>IF(COUNTIF(#REF!,_xlfn.TEXTJOIN(".",,C77,F77,H77)),"是","否")</f>
        <v>#REF!</v>
      </c>
      <c r="Y77" s="23" t="e">
        <f t="shared" si="31"/>
        <v>#REF!</v>
      </c>
      <c r="Z77" s="23" t="s">
        <v>55</v>
      </c>
      <c r="AA77" s="27" t="s">
        <v>55</v>
      </c>
      <c r="AB77" s="27" t="s">
        <v>60</v>
      </c>
      <c r="AC77" s="27">
        <v>1</v>
      </c>
      <c r="AD77" s="27" t="s">
        <v>332</v>
      </c>
      <c r="AE77" s="27" t="s">
        <v>333</v>
      </c>
      <c r="AF77" s="27"/>
      <c r="AG77" s="27"/>
      <c r="AH77" s="27" t="s">
        <v>58</v>
      </c>
      <c r="AI77" s="27" t="s">
        <v>276</v>
      </c>
      <c r="AJ77" s="1" t="str">
        <f t="shared" si="32"/>
        <v>SYS.ELB.lbaas_instance_id,lbaas_listener_id.m14_l7_rt</v>
      </c>
      <c r="AK77" s="1" t="s">
        <v>302</v>
      </c>
      <c r="AL77" s="1" t="s">
        <v>55</v>
      </c>
    </row>
    <row r="78" spans="1:38" hidden="1" x14ac:dyDescent="0.25">
      <c r="A78" s="24">
        <f t="shared" ref="A78:A81" si="33">ROW()-1</f>
        <v>77</v>
      </c>
      <c r="B78" s="25" t="s">
        <v>258</v>
      </c>
      <c r="C78" s="25" t="s">
        <v>259</v>
      </c>
      <c r="D78" s="25" t="s">
        <v>260</v>
      </c>
      <c r="E78" s="27" t="s">
        <v>329</v>
      </c>
      <c r="F78" s="25" t="s">
        <v>330</v>
      </c>
      <c r="G78" s="25" t="s">
        <v>318</v>
      </c>
      <c r="H78" s="25" t="s">
        <v>319</v>
      </c>
      <c r="I78" s="25" t="s">
        <v>320</v>
      </c>
      <c r="J78" s="25" t="s">
        <v>38</v>
      </c>
      <c r="K78" s="25">
        <v>60</v>
      </c>
      <c r="L78" s="25" t="s">
        <v>45</v>
      </c>
      <c r="M78" s="25" t="s">
        <v>268</v>
      </c>
      <c r="N78" s="23" t="s">
        <v>55</v>
      </c>
      <c r="O78" s="23" t="s">
        <v>59</v>
      </c>
      <c r="P78" s="23" t="s">
        <v>60</v>
      </c>
      <c r="Q78" s="23">
        <v>1</v>
      </c>
      <c r="R78" s="23" t="s">
        <v>334</v>
      </c>
      <c r="S78" s="23"/>
      <c r="T78" s="23">
        <v>50</v>
      </c>
      <c r="U78" s="23" t="s">
        <v>58</v>
      </c>
      <c r="V78" s="23" t="s">
        <v>62</v>
      </c>
      <c r="W78" s="23"/>
      <c r="X78" s="23" t="e">
        <f>IF(COUNTIF(#REF!,_xlfn.TEXTJOIN(".",,C78,F78,H78)),"是","否")</f>
        <v>#REF!</v>
      </c>
      <c r="Y78" s="23" t="e">
        <f t="shared" ref="Y78:Y81" si="34">IF(AND(O78="底线指标",X78="是"),"是","否")</f>
        <v>#REF!</v>
      </c>
      <c r="Z78" s="23" t="s">
        <v>55</v>
      </c>
      <c r="AA78" s="23"/>
      <c r="AB78" s="23"/>
      <c r="AC78" s="23"/>
      <c r="AD78" s="23"/>
      <c r="AE78" s="23"/>
      <c r="AF78" s="23"/>
      <c r="AG78" s="23"/>
      <c r="AH78" s="23"/>
      <c r="AI78" s="23"/>
      <c r="AJ78" s="1" t="str">
        <f t="shared" ref="AJ78:AJ81" si="35">_xlfn.TEXTJOIN(".",TRUE,C78,F78,H78)</f>
        <v>SYS.ELB.lbaas_instance_id,lbaas_listener_id.elb_http_5xx</v>
      </c>
      <c r="AK78" s="1" t="s">
        <v>302</v>
      </c>
      <c r="AL78" s="1" t="s">
        <v>55</v>
      </c>
    </row>
    <row r="79" spans="1:38" hidden="1" x14ac:dyDescent="0.25">
      <c r="A79" s="24">
        <f t="shared" si="33"/>
        <v>78</v>
      </c>
      <c r="B79" s="25" t="s">
        <v>258</v>
      </c>
      <c r="C79" s="25" t="s">
        <v>259</v>
      </c>
      <c r="D79" s="25" t="s">
        <v>260</v>
      </c>
      <c r="E79" s="27" t="s">
        <v>329</v>
      </c>
      <c r="F79" s="25" t="s">
        <v>330</v>
      </c>
      <c r="G79" s="25" t="s">
        <v>321</v>
      </c>
      <c r="H79" s="25" t="s">
        <v>322</v>
      </c>
      <c r="I79" s="25" t="s">
        <v>323</v>
      </c>
      <c r="J79" s="25" t="s">
        <v>38</v>
      </c>
      <c r="K79" s="25">
        <v>60</v>
      </c>
      <c r="L79" s="25" t="s">
        <v>39</v>
      </c>
      <c r="M79" s="25" t="s">
        <v>58</v>
      </c>
      <c r="N79" s="23" t="s">
        <v>55</v>
      </c>
      <c r="O79" s="23" t="s">
        <v>59</v>
      </c>
      <c r="P79" s="23" t="s">
        <v>60</v>
      </c>
      <c r="Q79" s="23">
        <v>3</v>
      </c>
      <c r="R79" s="23" t="s">
        <v>240</v>
      </c>
      <c r="S79" s="23"/>
      <c r="T79" s="23">
        <v>5</v>
      </c>
      <c r="U79" s="23" t="s">
        <v>58</v>
      </c>
      <c r="V79" s="23" t="s">
        <v>62</v>
      </c>
      <c r="W79" s="23"/>
      <c r="X79" s="23" t="e">
        <f>IF(COUNTIF(#REF!,_xlfn.TEXTJOIN(".",,C79,F79,H79)),"是","否")</f>
        <v>#REF!</v>
      </c>
      <c r="Y79" s="23" t="e">
        <f t="shared" si="34"/>
        <v>#REF!</v>
      </c>
      <c r="Z79" s="23" t="s">
        <v>55</v>
      </c>
      <c r="AA79" s="23"/>
      <c r="AB79" s="23"/>
      <c r="AC79" s="23"/>
      <c r="AD79" s="23"/>
      <c r="AE79" s="23"/>
      <c r="AF79" s="23"/>
      <c r="AG79" s="23"/>
      <c r="AH79" s="23"/>
      <c r="AI79" s="23"/>
      <c r="AJ79" s="1" t="str">
        <f t="shared" si="35"/>
        <v>SYS.ELB.lbaas_instance_id,lbaas_listener_id.l7_5xx_ratio</v>
      </c>
      <c r="AK79" s="1" t="s">
        <v>302</v>
      </c>
      <c r="AL79" s="1" t="s">
        <v>55</v>
      </c>
    </row>
    <row r="80" spans="1:38" hidden="1" x14ac:dyDescent="0.25">
      <c r="A80" s="24">
        <f t="shared" si="33"/>
        <v>79</v>
      </c>
      <c r="B80" s="25" t="s">
        <v>258</v>
      </c>
      <c r="C80" s="25" t="s">
        <v>259</v>
      </c>
      <c r="D80" s="25" t="s">
        <v>260</v>
      </c>
      <c r="E80" s="27" t="s">
        <v>329</v>
      </c>
      <c r="F80" s="25" t="s">
        <v>330</v>
      </c>
      <c r="G80" s="25" t="s">
        <v>324</v>
      </c>
      <c r="H80" s="25" t="s">
        <v>325</v>
      </c>
      <c r="I80" s="25" t="s">
        <v>326</v>
      </c>
      <c r="J80" s="25" t="s">
        <v>38</v>
      </c>
      <c r="K80" s="25">
        <v>60</v>
      </c>
      <c r="L80" s="25" t="s">
        <v>39</v>
      </c>
      <c r="M80" s="25" t="s">
        <v>58</v>
      </c>
      <c r="N80" s="23" t="s">
        <v>55</v>
      </c>
      <c r="O80" s="23" t="s">
        <v>59</v>
      </c>
      <c r="P80" s="23" t="s">
        <v>60</v>
      </c>
      <c r="Q80" s="23">
        <v>3</v>
      </c>
      <c r="R80" s="23" t="s">
        <v>335</v>
      </c>
      <c r="S80" s="23"/>
      <c r="T80" s="23">
        <v>95</v>
      </c>
      <c r="U80" s="23" t="s">
        <v>58</v>
      </c>
      <c r="V80" s="23" t="s">
        <v>62</v>
      </c>
      <c r="W80" s="23"/>
      <c r="X80" s="23" t="e">
        <f>IF(COUNTIF(#REF!,_xlfn.TEXTJOIN(".",,C80,F80,H80)),"是","否")</f>
        <v>#REF!</v>
      </c>
      <c r="Y80" s="23" t="e">
        <f t="shared" si="34"/>
        <v>#REF!</v>
      </c>
      <c r="Z80" s="23" t="s">
        <v>55</v>
      </c>
      <c r="AA80" s="23"/>
      <c r="AB80" s="23"/>
      <c r="AC80" s="23"/>
      <c r="AD80" s="23"/>
      <c r="AE80" s="23"/>
      <c r="AF80" s="23"/>
      <c r="AG80" s="23"/>
      <c r="AH80" s="23"/>
      <c r="AI80" s="23"/>
      <c r="AJ80" s="1" t="str">
        <f t="shared" si="35"/>
        <v>SYS.ELB.lbaas_instance_id,lbaas_listener_id.l7_2xx_ratio</v>
      </c>
      <c r="AK80" s="1" t="s">
        <v>302</v>
      </c>
      <c r="AL80" s="1" t="s">
        <v>55</v>
      </c>
    </row>
    <row r="81" spans="1:38" hidden="1" x14ac:dyDescent="0.25">
      <c r="A81" s="24">
        <f t="shared" si="33"/>
        <v>80</v>
      </c>
      <c r="B81" s="25" t="s">
        <v>258</v>
      </c>
      <c r="C81" s="25" t="s">
        <v>259</v>
      </c>
      <c r="D81" s="25" t="s">
        <v>260</v>
      </c>
      <c r="E81" s="27" t="s">
        <v>336</v>
      </c>
      <c r="F81" s="25" t="s">
        <v>337</v>
      </c>
      <c r="G81" s="25" t="s">
        <v>269</v>
      </c>
      <c r="H81" s="25" t="s">
        <v>270</v>
      </c>
      <c r="I81" s="25" t="s">
        <v>271</v>
      </c>
      <c r="J81" s="25" t="s">
        <v>38</v>
      </c>
      <c r="K81" s="25">
        <v>60</v>
      </c>
      <c r="L81" s="25"/>
      <c r="M81" s="25" t="s">
        <v>83</v>
      </c>
      <c r="N81" s="23" t="s">
        <v>55</v>
      </c>
      <c r="O81" s="23" t="s">
        <v>59</v>
      </c>
      <c r="P81" s="23" t="s">
        <v>60</v>
      </c>
      <c r="Q81" s="23">
        <v>3</v>
      </c>
      <c r="R81" s="23" t="s">
        <v>61</v>
      </c>
      <c r="S81" s="23"/>
      <c r="T81" s="23">
        <v>0</v>
      </c>
      <c r="U81" s="23" t="s">
        <v>83</v>
      </c>
      <c r="V81" s="23" t="s">
        <v>62</v>
      </c>
      <c r="W81" s="23"/>
      <c r="X81" s="23" t="e">
        <f>IF(COUNTIF(#REF!,_xlfn.TEXTJOIN(".",,C81,F81,H81)),"是","否")</f>
        <v>#REF!</v>
      </c>
      <c r="Y81" s="23" t="e">
        <f t="shared" si="34"/>
        <v>#REF!</v>
      </c>
      <c r="Z81" s="23" t="s">
        <v>55</v>
      </c>
      <c r="AA81" s="27" t="s">
        <v>55</v>
      </c>
      <c r="AB81" s="27" t="s">
        <v>60</v>
      </c>
      <c r="AC81" s="27">
        <v>1</v>
      </c>
      <c r="AD81" s="27" t="s">
        <v>61</v>
      </c>
      <c r="AE81" s="27"/>
      <c r="AF81" s="27">
        <v>0</v>
      </c>
      <c r="AG81" s="27"/>
      <c r="AH81" s="27"/>
      <c r="AI81" s="27" t="s">
        <v>276</v>
      </c>
      <c r="AJ81" s="1" t="str">
        <f t="shared" si="35"/>
        <v>SYS.ELB.lbaas_instance_id,lbaas_pool_id.m9_abnormal_servers</v>
      </c>
      <c r="AK81" s="1" t="s">
        <v>302</v>
      </c>
      <c r="AL81" s="1" t="s">
        <v>55</v>
      </c>
    </row>
    <row r="82" spans="1:38" hidden="1" x14ac:dyDescent="0.25">
      <c r="A82" s="24">
        <f t="shared" ref="A82:A86" si="36">ROW()-1</f>
        <v>81</v>
      </c>
      <c r="B82" s="27" t="s">
        <v>338</v>
      </c>
      <c r="C82" s="25" t="s">
        <v>339</v>
      </c>
      <c r="D82" s="27" t="s">
        <v>340</v>
      </c>
      <c r="E82" s="27" t="s">
        <v>360</v>
      </c>
      <c r="F82" s="25" t="s">
        <v>361</v>
      </c>
      <c r="G82" s="25" t="s">
        <v>72</v>
      </c>
      <c r="H82" s="25" t="s">
        <v>362</v>
      </c>
      <c r="I82" s="25" t="s">
        <v>341</v>
      </c>
      <c r="J82" s="25" t="s">
        <v>38</v>
      </c>
      <c r="K82" s="25">
        <v>60</v>
      </c>
      <c r="L82" s="25"/>
      <c r="M82" s="25" t="s">
        <v>58</v>
      </c>
      <c r="N82" s="23" t="s">
        <v>55</v>
      </c>
      <c r="O82" s="23" t="s">
        <v>59</v>
      </c>
      <c r="P82" s="26" t="s">
        <v>60</v>
      </c>
      <c r="Q82" s="26">
        <v>3</v>
      </c>
      <c r="R82" s="26" t="s">
        <v>61</v>
      </c>
      <c r="S82" s="26">
        <v>80</v>
      </c>
      <c r="T82" s="26">
        <v>90</v>
      </c>
      <c r="U82" s="23" t="s">
        <v>58</v>
      </c>
      <c r="V82" s="23" t="s">
        <v>62</v>
      </c>
      <c r="W82" s="23"/>
      <c r="X82" s="23" t="e">
        <f>IF(COUNTIF(#REF!,_xlfn.TEXTJOIN(".",,C82,F82,H82)),"是","否")</f>
        <v>#REF!</v>
      </c>
      <c r="Y82" s="23" t="e">
        <f t="shared" ref="Y82:Y86" si="37">IF(AND(O82="底线指标",X82="是"),"是","否")</f>
        <v>#REF!</v>
      </c>
      <c r="Z82" s="23" t="s">
        <v>55</v>
      </c>
      <c r="AA82" s="27" t="s">
        <v>55</v>
      </c>
      <c r="AB82" s="27" t="s">
        <v>60</v>
      </c>
      <c r="AC82" s="27">
        <v>3</v>
      </c>
      <c r="AD82" s="27" t="s">
        <v>61</v>
      </c>
      <c r="AE82" s="27">
        <v>80</v>
      </c>
      <c r="AF82" s="27"/>
      <c r="AG82" s="27"/>
      <c r="AH82" s="27" t="s">
        <v>58</v>
      </c>
      <c r="AI82" s="27" t="s">
        <v>62</v>
      </c>
      <c r="AJ82" s="1" t="str">
        <f t="shared" ref="AJ82:AJ86" si="38">_xlfn.TEXTJOIN(".",TRUE,C82,F82,H82)</f>
        <v>SYS.GAUSSDB.gaussdb_mysql_instance_id,gaussdb_mysql_node_id.gaussdb_mysql001_cpu_util</v>
      </c>
      <c r="AK82" s="1" t="s">
        <v>152</v>
      </c>
      <c r="AL82" s="1" t="s">
        <v>55</v>
      </c>
    </row>
    <row r="83" spans="1:38" hidden="1" x14ac:dyDescent="0.25">
      <c r="A83" s="24">
        <f t="shared" si="36"/>
        <v>82</v>
      </c>
      <c r="B83" s="27" t="s">
        <v>338</v>
      </c>
      <c r="C83" s="25" t="s">
        <v>339</v>
      </c>
      <c r="D83" s="27" t="s">
        <v>340</v>
      </c>
      <c r="E83" s="27" t="s">
        <v>360</v>
      </c>
      <c r="F83" s="25" t="s">
        <v>361</v>
      </c>
      <c r="G83" s="25" t="s">
        <v>76</v>
      </c>
      <c r="H83" s="25" t="s">
        <v>363</v>
      </c>
      <c r="I83" s="25" t="s">
        <v>78</v>
      </c>
      <c r="J83" s="25" t="s">
        <v>38</v>
      </c>
      <c r="K83" s="25">
        <v>60</v>
      </c>
      <c r="L83" s="25"/>
      <c r="M83" s="25" t="s">
        <v>58</v>
      </c>
      <c r="N83" s="23" t="s">
        <v>55</v>
      </c>
      <c r="O83" s="23" t="s">
        <v>59</v>
      </c>
      <c r="P83" s="26" t="s">
        <v>60</v>
      </c>
      <c r="Q83" s="26">
        <v>3</v>
      </c>
      <c r="R83" s="26" t="s">
        <v>61</v>
      </c>
      <c r="S83" s="26"/>
      <c r="T83" s="26">
        <v>90</v>
      </c>
      <c r="U83" s="23" t="s">
        <v>58</v>
      </c>
      <c r="V83" s="23" t="s">
        <v>62</v>
      </c>
      <c r="W83" s="23"/>
      <c r="X83" s="23" t="e">
        <f>IF(COUNTIF(#REF!,_xlfn.TEXTJOIN(".",,C83,F83,H83)),"是","否")</f>
        <v>#REF!</v>
      </c>
      <c r="Y83" s="23" t="e">
        <f t="shared" si="37"/>
        <v>#REF!</v>
      </c>
      <c r="Z83" s="23" t="s">
        <v>55</v>
      </c>
      <c r="AA83" s="27" t="s">
        <v>55</v>
      </c>
      <c r="AB83" s="27" t="s">
        <v>60</v>
      </c>
      <c r="AC83" s="27">
        <v>3</v>
      </c>
      <c r="AD83" s="27" t="s">
        <v>61</v>
      </c>
      <c r="AE83" s="27">
        <v>90</v>
      </c>
      <c r="AF83" s="27"/>
      <c r="AG83" s="27"/>
      <c r="AH83" s="27" t="s">
        <v>58</v>
      </c>
      <c r="AI83" s="27" t="s">
        <v>62</v>
      </c>
      <c r="AJ83" s="1" t="str">
        <f t="shared" si="38"/>
        <v>SYS.GAUSSDB.gaussdb_mysql_instance_id,gaussdb_mysql_node_id.gaussdb_mysql002_mem_util</v>
      </c>
      <c r="AK83" s="1" t="s">
        <v>152</v>
      </c>
      <c r="AL83" s="1" t="s">
        <v>55</v>
      </c>
    </row>
    <row r="84" spans="1:38" hidden="1" x14ac:dyDescent="0.25">
      <c r="A84" s="24">
        <f t="shared" si="36"/>
        <v>83</v>
      </c>
      <c r="B84" s="27" t="s">
        <v>338</v>
      </c>
      <c r="C84" s="25" t="s">
        <v>339</v>
      </c>
      <c r="D84" s="27" t="s">
        <v>340</v>
      </c>
      <c r="E84" s="27" t="s">
        <v>360</v>
      </c>
      <c r="F84" s="25" t="s">
        <v>361</v>
      </c>
      <c r="G84" s="25" t="s">
        <v>343</v>
      </c>
      <c r="H84" s="25" t="s">
        <v>364</v>
      </c>
      <c r="I84" s="22" t="s">
        <v>365</v>
      </c>
      <c r="J84" s="22" t="s">
        <v>38</v>
      </c>
      <c r="K84" s="22">
        <v>60</v>
      </c>
      <c r="L84" s="22"/>
      <c r="M84" s="22" t="s">
        <v>342</v>
      </c>
      <c r="N84" s="23" t="s">
        <v>55</v>
      </c>
      <c r="O84" s="23" t="s">
        <v>59</v>
      </c>
      <c r="P84" s="23" t="s">
        <v>60</v>
      </c>
      <c r="Q84" s="23">
        <v>3</v>
      </c>
      <c r="R84" s="23" t="s">
        <v>366</v>
      </c>
      <c r="S84" s="23">
        <v>90</v>
      </c>
      <c r="T84" s="23"/>
      <c r="U84" s="22" t="s">
        <v>58</v>
      </c>
      <c r="V84" s="23" t="s">
        <v>62</v>
      </c>
      <c r="W84" s="23"/>
      <c r="X84" s="23" t="e">
        <f>IF(COUNTIF(#REF!,_xlfn.TEXTJOIN(".",,C84,F84,H84)),"是","否")</f>
        <v>#REF!</v>
      </c>
      <c r="Y84" s="23" t="e">
        <f t="shared" si="37"/>
        <v>#REF!</v>
      </c>
      <c r="Z84" s="23"/>
      <c r="AA84" s="23"/>
      <c r="AB84" s="23"/>
      <c r="AC84" s="23"/>
      <c r="AD84" s="23"/>
      <c r="AE84" s="23"/>
      <c r="AF84" s="23"/>
      <c r="AG84" s="23"/>
      <c r="AH84" s="23"/>
      <c r="AI84" s="23"/>
      <c r="AJ84" s="1" t="str">
        <f t="shared" si="38"/>
        <v>SYS.GAUSSDB.gaussdb_mysql_instance_id,gaussdb_mysql_node_id.gaussdb_mysql011_innodb_buf_hit</v>
      </c>
      <c r="AK84" s="1"/>
      <c r="AL84" s="1"/>
    </row>
    <row r="85" spans="1:38" hidden="1" x14ac:dyDescent="0.25">
      <c r="A85" s="24">
        <f t="shared" si="36"/>
        <v>84</v>
      </c>
      <c r="B85" s="27" t="s">
        <v>338</v>
      </c>
      <c r="C85" s="25" t="s">
        <v>339</v>
      </c>
      <c r="D85" s="27" t="s">
        <v>340</v>
      </c>
      <c r="E85" s="27" t="s">
        <v>360</v>
      </c>
      <c r="F85" s="25" t="s">
        <v>361</v>
      </c>
      <c r="G85" s="25" t="s">
        <v>174</v>
      </c>
      <c r="H85" s="25" t="s">
        <v>367</v>
      </c>
      <c r="I85" s="27" t="s">
        <v>368</v>
      </c>
      <c r="J85" s="25" t="s">
        <v>38</v>
      </c>
      <c r="K85" s="25">
        <v>60</v>
      </c>
      <c r="L85" s="25"/>
      <c r="M85" s="25" t="s">
        <v>58</v>
      </c>
      <c r="N85" s="23" t="s">
        <v>55</v>
      </c>
      <c r="O85" s="23" t="s">
        <v>59</v>
      </c>
      <c r="P85" s="26" t="s">
        <v>60</v>
      </c>
      <c r="Q85" s="26">
        <v>3</v>
      </c>
      <c r="R85" s="26" t="s">
        <v>61</v>
      </c>
      <c r="S85" s="26">
        <v>80</v>
      </c>
      <c r="T85" s="26">
        <v>90</v>
      </c>
      <c r="U85" s="23" t="s">
        <v>58</v>
      </c>
      <c r="V85" s="23" t="s">
        <v>62</v>
      </c>
      <c r="W85" s="23"/>
      <c r="X85" s="23" t="e">
        <f>IF(COUNTIF(#REF!,_xlfn.TEXTJOIN(".",,C85,F85,H85)),"是","否")</f>
        <v>#REF!</v>
      </c>
      <c r="Y85" s="23" t="e">
        <f t="shared" si="37"/>
        <v>#REF!</v>
      </c>
      <c r="Z85" s="23" t="s">
        <v>55</v>
      </c>
      <c r="AA85" s="27" t="s">
        <v>55</v>
      </c>
      <c r="AB85" s="27" t="s">
        <v>60</v>
      </c>
      <c r="AC85" s="27">
        <v>3</v>
      </c>
      <c r="AD85" s="27" t="s">
        <v>61</v>
      </c>
      <c r="AE85" s="27">
        <v>80</v>
      </c>
      <c r="AF85" s="27"/>
      <c r="AG85" s="27"/>
      <c r="AH85" s="27" t="s">
        <v>58</v>
      </c>
      <c r="AI85" s="27" t="s">
        <v>62</v>
      </c>
      <c r="AJ85" s="1" t="str">
        <f t="shared" si="38"/>
        <v>SYS.GAUSSDB.gaussdb_mysql_instance_id,gaussdb_mysql_node_id.gaussdb_mysql072_conn_usage</v>
      </c>
      <c r="AK85" s="1" t="s">
        <v>152</v>
      </c>
      <c r="AL85" s="1" t="s">
        <v>55</v>
      </c>
    </row>
    <row r="86" spans="1:38" hidden="1" x14ac:dyDescent="0.25">
      <c r="A86" s="24">
        <f t="shared" si="36"/>
        <v>85</v>
      </c>
      <c r="B86" s="27" t="s">
        <v>338</v>
      </c>
      <c r="C86" s="25" t="s">
        <v>339</v>
      </c>
      <c r="D86" s="27" t="s">
        <v>340</v>
      </c>
      <c r="E86" s="27" t="s">
        <v>360</v>
      </c>
      <c r="F86" s="25" t="s">
        <v>361</v>
      </c>
      <c r="G86" s="25" t="s">
        <v>371</v>
      </c>
      <c r="H86" s="25" t="s">
        <v>372</v>
      </c>
      <c r="I86" s="25" t="s">
        <v>373</v>
      </c>
      <c r="J86" s="25" t="s">
        <v>38</v>
      </c>
      <c r="K86" s="25">
        <v>60</v>
      </c>
      <c r="L86" s="25" t="s">
        <v>39</v>
      </c>
      <c r="M86" s="25" t="s">
        <v>58</v>
      </c>
      <c r="N86" s="23" t="s">
        <v>55</v>
      </c>
      <c r="O86" s="23" t="s">
        <v>59</v>
      </c>
      <c r="P86" s="26" t="s">
        <v>60</v>
      </c>
      <c r="Q86" s="26">
        <v>3</v>
      </c>
      <c r="R86" s="26" t="s">
        <v>61</v>
      </c>
      <c r="S86" s="26">
        <v>80</v>
      </c>
      <c r="T86" s="26">
        <v>90</v>
      </c>
      <c r="U86" s="23" t="s">
        <v>58</v>
      </c>
      <c r="V86" s="23" t="s">
        <v>62</v>
      </c>
      <c r="W86" s="23"/>
      <c r="X86" s="23" t="e">
        <f>IF(COUNTIF(#REF!,_xlfn.TEXTJOIN(".",,C86,F86,H86)),"是","否")</f>
        <v>#REF!</v>
      </c>
      <c r="Y86" s="23" t="e">
        <f t="shared" si="37"/>
        <v>#REF!</v>
      </c>
      <c r="Z86" s="23" t="s">
        <v>55</v>
      </c>
      <c r="AA86" s="23"/>
      <c r="AB86" s="23"/>
      <c r="AC86" s="23"/>
      <c r="AD86" s="23"/>
      <c r="AE86" s="23"/>
      <c r="AF86" s="23"/>
      <c r="AG86" s="23"/>
      <c r="AH86" s="23"/>
      <c r="AI86" s="23"/>
      <c r="AJ86" s="1" t="str">
        <f t="shared" si="38"/>
        <v>SYS.GAUSSDB.gaussdb_mysql_instance_id,gaussdb_mysql_node_id.gaussdb_mysql113_data_disk_used_ratio</v>
      </c>
      <c r="AK86" s="1" t="s">
        <v>152</v>
      </c>
      <c r="AL86" s="1" t="s">
        <v>55</v>
      </c>
    </row>
    <row r="87" spans="1:38" hidden="1" x14ac:dyDescent="0.25">
      <c r="A87" s="24">
        <f t="shared" ref="A87:A93" si="39">ROW()-1</f>
        <v>86</v>
      </c>
      <c r="B87" s="27" t="s">
        <v>338</v>
      </c>
      <c r="C87" s="25" t="s">
        <v>339</v>
      </c>
      <c r="D87" s="27" t="s">
        <v>340</v>
      </c>
      <c r="E87" s="27" t="s">
        <v>360</v>
      </c>
      <c r="F87" s="25" t="s">
        <v>361</v>
      </c>
      <c r="G87" s="25" t="s">
        <v>79</v>
      </c>
      <c r="H87" s="25" t="s">
        <v>374</v>
      </c>
      <c r="I87" s="22" t="s">
        <v>375</v>
      </c>
      <c r="J87" s="22" t="s">
        <v>38</v>
      </c>
      <c r="K87" s="22">
        <v>60</v>
      </c>
      <c r="L87" s="22" t="s">
        <v>39</v>
      </c>
      <c r="M87" s="22" t="s">
        <v>58</v>
      </c>
      <c r="N87" s="23" t="s">
        <v>55</v>
      </c>
      <c r="O87" s="23" t="s">
        <v>59</v>
      </c>
      <c r="P87" s="23" t="s">
        <v>60</v>
      </c>
      <c r="Q87" s="23">
        <v>3</v>
      </c>
      <c r="R87" s="23" t="s">
        <v>61</v>
      </c>
      <c r="S87" s="23">
        <v>80</v>
      </c>
      <c r="T87" s="23"/>
      <c r="U87" s="22" t="s">
        <v>58</v>
      </c>
      <c r="V87" s="23" t="s">
        <v>62</v>
      </c>
      <c r="W87" s="23"/>
      <c r="X87" s="23" t="e">
        <f>IF(COUNTIF(#REF!,_xlfn.TEXTJOIN(".",,C87,F87,H87)),"是","否")</f>
        <v>#REF!</v>
      </c>
      <c r="Y87" s="23" t="e">
        <f t="shared" ref="Y87:Y93" si="40">IF(AND(O87="底线指标",X87="是"),"是","否")</f>
        <v>#REF!</v>
      </c>
      <c r="Z87" s="23"/>
      <c r="AA87" s="27" t="s">
        <v>55</v>
      </c>
      <c r="AB87" s="27" t="s">
        <v>60</v>
      </c>
      <c r="AC87" s="27">
        <v>3</v>
      </c>
      <c r="AD87" s="27" t="s">
        <v>61</v>
      </c>
      <c r="AE87" s="27">
        <v>80</v>
      </c>
      <c r="AF87" s="27"/>
      <c r="AG87" s="27"/>
      <c r="AH87" s="27" t="s">
        <v>58</v>
      </c>
      <c r="AI87" s="27" t="s">
        <v>62</v>
      </c>
      <c r="AJ87" s="1" t="str">
        <f t="shared" ref="AJ87:AJ93" si="41">_xlfn.TEXTJOIN(".",TRUE,C87,F87,H87)</f>
        <v>SYS.GAUSSDB.gaussdb_mysql_instance_id,gaussdb_mysql_node_id.gaussdb_mysql119_disk_used_ratio</v>
      </c>
      <c r="AK87" s="1"/>
      <c r="AL87" s="1"/>
    </row>
    <row r="88" spans="1:38" hidden="1" x14ac:dyDescent="0.25">
      <c r="A88" s="24">
        <f t="shared" si="39"/>
        <v>87</v>
      </c>
      <c r="B88" s="25" t="s">
        <v>379</v>
      </c>
      <c r="C88" s="25" t="s">
        <v>380</v>
      </c>
      <c r="D88" s="25" t="s">
        <v>381</v>
      </c>
      <c r="E88" s="25" t="s">
        <v>382</v>
      </c>
      <c r="F88" s="25" t="s">
        <v>383</v>
      </c>
      <c r="G88" s="25" t="s">
        <v>384</v>
      </c>
      <c r="H88" s="25" t="s">
        <v>385</v>
      </c>
      <c r="I88" s="25" t="s">
        <v>386</v>
      </c>
      <c r="J88" s="25" t="s">
        <v>38</v>
      </c>
      <c r="K88" s="25">
        <v>60</v>
      </c>
      <c r="L88" s="25" t="s">
        <v>39</v>
      </c>
      <c r="M88" s="25" t="s">
        <v>40</v>
      </c>
      <c r="N88" s="23" t="s">
        <v>55</v>
      </c>
      <c r="O88" s="23" t="s">
        <v>59</v>
      </c>
      <c r="P88" s="23" t="s">
        <v>60</v>
      </c>
      <c r="Q88" s="23">
        <v>3</v>
      </c>
      <c r="R88" s="23" t="s">
        <v>332</v>
      </c>
      <c r="S88" s="23" t="s">
        <v>387</v>
      </c>
      <c r="T88" s="23" t="s">
        <v>333</v>
      </c>
      <c r="U88" s="23" t="s">
        <v>58</v>
      </c>
      <c r="V88" s="23" t="s">
        <v>62</v>
      </c>
      <c r="W88" s="23"/>
      <c r="X88" s="23" t="e">
        <f>IF(COUNTIF(#REF!,_xlfn.TEXTJOIN(".",,C88,F88,H88)),"是","否")</f>
        <v>#REF!</v>
      </c>
      <c r="Y88" s="23" t="e">
        <f t="shared" si="40"/>
        <v>#REF!</v>
      </c>
      <c r="Z88" s="23" t="s">
        <v>55</v>
      </c>
      <c r="AA88" s="27" t="s">
        <v>55</v>
      </c>
      <c r="AB88" s="27" t="s">
        <v>60</v>
      </c>
      <c r="AC88" s="27">
        <v>3</v>
      </c>
      <c r="AD88" s="27" t="s">
        <v>332</v>
      </c>
      <c r="AE88" s="27" t="s">
        <v>387</v>
      </c>
      <c r="AF88" s="27" t="s">
        <v>333</v>
      </c>
      <c r="AG88" s="27" t="s">
        <v>388</v>
      </c>
      <c r="AH88" s="27"/>
      <c r="AI88" s="27" t="s">
        <v>151</v>
      </c>
      <c r="AJ88" s="1" t="str">
        <f t="shared" si="41"/>
        <v>SYS.CDN.domain_name.bw</v>
      </c>
      <c r="AK88" s="1" t="s">
        <v>302</v>
      </c>
      <c r="AL88" s="1" t="s">
        <v>389</v>
      </c>
    </row>
    <row r="89" spans="1:38" hidden="1" x14ac:dyDescent="0.25">
      <c r="A89" s="24">
        <f t="shared" si="39"/>
        <v>88</v>
      </c>
      <c r="B89" s="25" t="s">
        <v>379</v>
      </c>
      <c r="C89" s="25" t="s">
        <v>380</v>
      </c>
      <c r="D89" s="25" t="s">
        <v>381</v>
      </c>
      <c r="E89" s="25" t="s">
        <v>382</v>
      </c>
      <c r="F89" s="25" t="s">
        <v>383</v>
      </c>
      <c r="G89" s="25" t="s">
        <v>390</v>
      </c>
      <c r="H89" s="25" t="s">
        <v>391</v>
      </c>
      <c r="I89" s="25" t="s">
        <v>392</v>
      </c>
      <c r="J89" s="25" t="s">
        <v>38</v>
      </c>
      <c r="K89" s="25">
        <v>60</v>
      </c>
      <c r="L89" s="25" t="s">
        <v>39</v>
      </c>
      <c r="M89" s="25" t="s">
        <v>58</v>
      </c>
      <c r="N89" s="23" t="s">
        <v>55</v>
      </c>
      <c r="O89" s="23" t="s">
        <v>59</v>
      </c>
      <c r="P89" s="23" t="s">
        <v>60</v>
      </c>
      <c r="Q89" s="23">
        <v>3</v>
      </c>
      <c r="R89" s="23" t="s">
        <v>61</v>
      </c>
      <c r="S89" s="23" t="s">
        <v>393</v>
      </c>
      <c r="T89" s="23" t="s">
        <v>387</v>
      </c>
      <c r="U89" s="23" t="s">
        <v>58</v>
      </c>
      <c r="V89" s="23" t="s">
        <v>62</v>
      </c>
      <c r="W89" s="23"/>
      <c r="X89" s="23" t="e">
        <f>IF(COUNTIF(#REF!,_xlfn.TEXTJOIN(".",,C89,F89,H89)),"是","否")</f>
        <v>#REF!</v>
      </c>
      <c r="Y89" s="23" t="e">
        <f t="shared" si="40"/>
        <v>#REF!</v>
      </c>
      <c r="Z89" s="23" t="s">
        <v>55</v>
      </c>
      <c r="AA89" s="27" t="s">
        <v>55</v>
      </c>
      <c r="AB89" s="27" t="s">
        <v>60</v>
      </c>
      <c r="AC89" s="27">
        <v>3</v>
      </c>
      <c r="AD89" s="27" t="s">
        <v>61</v>
      </c>
      <c r="AE89" s="27" t="s">
        <v>393</v>
      </c>
      <c r="AF89" s="27" t="s">
        <v>387</v>
      </c>
      <c r="AG89" s="27"/>
      <c r="AH89" s="27" t="s">
        <v>58</v>
      </c>
      <c r="AI89" s="27" t="s">
        <v>151</v>
      </c>
      <c r="AJ89" s="1" t="str">
        <f t="shared" si="41"/>
        <v>SYS.CDN.domain_name.bs_fail_rate</v>
      </c>
      <c r="AK89" s="1" t="s">
        <v>302</v>
      </c>
      <c r="AL89" s="1" t="s">
        <v>389</v>
      </c>
    </row>
    <row r="90" spans="1:38" hidden="1" x14ac:dyDescent="0.25">
      <c r="A90" s="24">
        <f t="shared" si="39"/>
        <v>89</v>
      </c>
      <c r="B90" s="25" t="s">
        <v>379</v>
      </c>
      <c r="C90" s="25" t="s">
        <v>380</v>
      </c>
      <c r="D90" s="25" t="s">
        <v>381</v>
      </c>
      <c r="E90" s="25" t="s">
        <v>382</v>
      </c>
      <c r="F90" s="25" t="s">
        <v>383</v>
      </c>
      <c r="G90" s="25" t="s">
        <v>394</v>
      </c>
      <c r="H90" s="25" t="s">
        <v>395</v>
      </c>
      <c r="I90" s="25" t="s">
        <v>396</v>
      </c>
      <c r="J90" s="25" t="s">
        <v>38</v>
      </c>
      <c r="K90" s="25">
        <v>60</v>
      </c>
      <c r="L90" s="25" t="s">
        <v>39</v>
      </c>
      <c r="M90" s="25" t="s">
        <v>172</v>
      </c>
      <c r="N90" s="23" t="s">
        <v>55</v>
      </c>
      <c r="O90" s="23" t="s">
        <v>59</v>
      </c>
      <c r="P90" s="23" t="s">
        <v>60</v>
      </c>
      <c r="Q90" s="23">
        <v>3</v>
      </c>
      <c r="R90" s="23" t="s">
        <v>334</v>
      </c>
      <c r="S90" s="23">
        <v>60</v>
      </c>
      <c r="T90" s="23">
        <v>80</v>
      </c>
      <c r="U90" s="23" t="s">
        <v>58</v>
      </c>
      <c r="V90" s="23" t="s">
        <v>62</v>
      </c>
      <c r="W90" s="23"/>
      <c r="X90" s="23" t="e">
        <f>IF(COUNTIF(#REF!,_xlfn.TEXTJOIN(".",,C90,F90,H90)),"是","否")</f>
        <v>#REF!</v>
      </c>
      <c r="Y90" s="23" t="e">
        <f t="shared" si="40"/>
        <v>#REF!</v>
      </c>
      <c r="Z90" s="23" t="s">
        <v>55</v>
      </c>
      <c r="AA90" s="27" t="s">
        <v>55</v>
      </c>
      <c r="AB90" s="27" t="s">
        <v>60</v>
      </c>
      <c r="AC90" s="27">
        <v>3</v>
      </c>
      <c r="AD90" s="27" t="s">
        <v>334</v>
      </c>
      <c r="AE90" s="27">
        <v>60</v>
      </c>
      <c r="AF90" s="27"/>
      <c r="AG90" s="27"/>
      <c r="AH90" s="27" t="s">
        <v>58</v>
      </c>
      <c r="AI90" s="27" t="s">
        <v>151</v>
      </c>
      <c r="AJ90" s="1" t="str">
        <f t="shared" si="41"/>
        <v>SYS.CDN.domain_name.http_code_4xx</v>
      </c>
      <c r="AK90" s="1" t="s">
        <v>302</v>
      </c>
      <c r="AL90" s="1" t="s">
        <v>389</v>
      </c>
    </row>
    <row r="91" spans="1:38" hidden="1" x14ac:dyDescent="0.25">
      <c r="A91" s="24">
        <f t="shared" si="39"/>
        <v>90</v>
      </c>
      <c r="B91" s="25" t="s">
        <v>379</v>
      </c>
      <c r="C91" s="25" t="s">
        <v>380</v>
      </c>
      <c r="D91" s="25" t="s">
        <v>381</v>
      </c>
      <c r="E91" s="25" t="s">
        <v>382</v>
      </c>
      <c r="F91" s="25" t="s">
        <v>383</v>
      </c>
      <c r="G91" s="25" t="s">
        <v>397</v>
      </c>
      <c r="H91" s="25" t="s">
        <v>398</v>
      </c>
      <c r="I91" s="25" t="s">
        <v>399</v>
      </c>
      <c r="J91" s="25" t="s">
        <v>38</v>
      </c>
      <c r="K91" s="25">
        <v>60</v>
      </c>
      <c r="L91" s="25" t="s">
        <v>39</v>
      </c>
      <c r="M91" s="25" t="s">
        <v>58</v>
      </c>
      <c r="N91" s="23" t="s">
        <v>55</v>
      </c>
      <c r="O91" s="23" t="s">
        <v>59</v>
      </c>
      <c r="P91" s="23" t="s">
        <v>60</v>
      </c>
      <c r="Q91" s="23">
        <v>3</v>
      </c>
      <c r="R91" s="23" t="s">
        <v>240</v>
      </c>
      <c r="S91" s="23">
        <v>10</v>
      </c>
      <c r="T91" s="23">
        <v>30</v>
      </c>
      <c r="U91" s="23" t="s">
        <v>58</v>
      </c>
      <c r="V91" s="23" t="s">
        <v>62</v>
      </c>
      <c r="W91" s="23"/>
      <c r="X91" s="23" t="e">
        <f>IF(COUNTIF(#REF!,_xlfn.TEXTJOIN(".",,C91,F91,H91)),"是","否")</f>
        <v>#REF!</v>
      </c>
      <c r="Y91" s="23" t="e">
        <f t="shared" si="40"/>
        <v>#REF!</v>
      </c>
      <c r="Z91" s="23" t="s">
        <v>55</v>
      </c>
      <c r="AA91" s="27" t="s">
        <v>55</v>
      </c>
      <c r="AB91" s="27" t="s">
        <v>60</v>
      </c>
      <c r="AC91" s="27">
        <v>3</v>
      </c>
      <c r="AD91" s="27" t="s">
        <v>240</v>
      </c>
      <c r="AE91" s="27">
        <v>10</v>
      </c>
      <c r="AF91" s="27"/>
      <c r="AG91" s="27"/>
      <c r="AH91" s="27" t="s">
        <v>58</v>
      </c>
      <c r="AI91" s="27" t="s">
        <v>151</v>
      </c>
      <c r="AJ91" s="1" t="str">
        <f t="shared" si="41"/>
        <v>SYS.CDN.domain_name.http_code_4xx_rate</v>
      </c>
      <c r="AK91" s="1" t="s">
        <v>302</v>
      </c>
      <c r="AL91" s="1" t="s">
        <v>389</v>
      </c>
    </row>
    <row r="92" spans="1:38" hidden="1" x14ac:dyDescent="0.25">
      <c r="A92" s="24">
        <f t="shared" si="39"/>
        <v>91</v>
      </c>
      <c r="B92" s="25" t="s">
        <v>379</v>
      </c>
      <c r="C92" s="25" t="s">
        <v>380</v>
      </c>
      <c r="D92" s="25" t="s">
        <v>381</v>
      </c>
      <c r="E92" s="25" t="s">
        <v>382</v>
      </c>
      <c r="F92" s="25" t="s">
        <v>383</v>
      </c>
      <c r="G92" s="25" t="s">
        <v>400</v>
      </c>
      <c r="H92" s="25" t="s">
        <v>401</v>
      </c>
      <c r="I92" s="25" t="s">
        <v>402</v>
      </c>
      <c r="J92" s="25" t="s">
        <v>38</v>
      </c>
      <c r="K92" s="25">
        <v>60</v>
      </c>
      <c r="L92" s="25" t="s">
        <v>39</v>
      </c>
      <c r="M92" s="25" t="s">
        <v>172</v>
      </c>
      <c r="N92" s="23" t="s">
        <v>55</v>
      </c>
      <c r="O92" s="23" t="s">
        <v>59</v>
      </c>
      <c r="P92" s="23" t="s">
        <v>60</v>
      </c>
      <c r="Q92" s="23">
        <v>3</v>
      </c>
      <c r="R92" s="23" t="s">
        <v>334</v>
      </c>
      <c r="S92" s="23">
        <v>60</v>
      </c>
      <c r="T92" s="23">
        <v>80</v>
      </c>
      <c r="U92" s="23" t="s">
        <v>58</v>
      </c>
      <c r="V92" s="23" t="s">
        <v>62</v>
      </c>
      <c r="W92" s="23"/>
      <c r="X92" s="23" t="e">
        <f>IF(COUNTIF(#REF!,_xlfn.TEXTJOIN(".",,C92,F92,H92)),"是","否")</f>
        <v>#REF!</v>
      </c>
      <c r="Y92" s="23" t="e">
        <f t="shared" si="40"/>
        <v>#REF!</v>
      </c>
      <c r="Z92" s="23" t="s">
        <v>55</v>
      </c>
      <c r="AA92" s="27" t="s">
        <v>55</v>
      </c>
      <c r="AB92" s="27" t="s">
        <v>60</v>
      </c>
      <c r="AC92" s="27">
        <v>3</v>
      </c>
      <c r="AD92" s="27" t="s">
        <v>334</v>
      </c>
      <c r="AE92" s="27">
        <v>60</v>
      </c>
      <c r="AF92" s="27"/>
      <c r="AG92" s="27"/>
      <c r="AH92" s="27" t="s">
        <v>58</v>
      </c>
      <c r="AI92" s="27" t="s">
        <v>151</v>
      </c>
      <c r="AJ92" s="1" t="str">
        <f t="shared" si="41"/>
        <v>SYS.CDN.domain_name.http_code_5xx</v>
      </c>
      <c r="AK92" s="1" t="s">
        <v>302</v>
      </c>
      <c r="AL92" s="1" t="s">
        <v>389</v>
      </c>
    </row>
    <row r="93" spans="1:38" hidden="1" x14ac:dyDescent="0.25">
      <c r="A93" s="24">
        <f t="shared" si="39"/>
        <v>92</v>
      </c>
      <c r="B93" s="25" t="s">
        <v>379</v>
      </c>
      <c r="C93" s="25" t="s">
        <v>380</v>
      </c>
      <c r="D93" s="25" t="s">
        <v>381</v>
      </c>
      <c r="E93" s="25" t="s">
        <v>382</v>
      </c>
      <c r="F93" s="25" t="s">
        <v>383</v>
      </c>
      <c r="G93" s="25" t="s">
        <v>403</v>
      </c>
      <c r="H93" s="25" t="s">
        <v>404</v>
      </c>
      <c r="I93" s="25" t="s">
        <v>405</v>
      </c>
      <c r="J93" s="25" t="s">
        <v>38</v>
      </c>
      <c r="K93" s="25">
        <v>60</v>
      </c>
      <c r="L93" s="25" t="s">
        <v>39</v>
      </c>
      <c r="M93" s="25" t="s">
        <v>58</v>
      </c>
      <c r="N93" s="23" t="s">
        <v>55</v>
      </c>
      <c r="O93" s="23" t="s">
        <v>59</v>
      </c>
      <c r="P93" s="23" t="s">
        <v>60</v>
      </c>
      <c r="Q93" s="23">
        <v>3</v>
      </c>
      <c r="R93" s="23" t="s">
        <v>61</v>
      </c>
      <c r="S93" s="23">
        <v>1</v>
      </c>
      <c r="T93" s="23">
        <v>5</v>
      </c>
      <c r="U93" s="23" t="s">
        <v>58</v>
      </c>
      <c r="V93" s="23" t="s">
        <v>62</v>
      </c>
      <c r="W93" s="23"/>
      <c r="X93" s="23" t="e">
        <f>IF(COUNTIF(#REF!,_xlfn.TEXTJOIN(".",,C93,F93,H93)),"是","否")</f>
        <v>#REF!</v>
      </c>
      <c r="Y93" s="23" t="e">
        <f t="shared" si="40"/>
        <v>#REF!</v>
      </c>
      <c r="Z93" s="23" t="s">
        <v>55</v>
      </c>
      <c r="AA93" s="27" t="s">
        <v>55</v>
      </c>
      <c r="AB93" s="27" t="s">
        <v>60</v>
      </c>
      <c r="AC93" s="27">
        <v>3</v>
      </c>
      <c r="AD93" s="27" t="s">
        <v>61</v>
      </c>
      <c r="AE93" s="27">
        <v>1</v>
      </c>
      <c r="AF93" s="27"/>
      <c r="AG93" s="27"/>
      <c r="AH93" s="27" t="s">
        <v>58</v>
      </c>
      <c r="AI93" s="27" t="s">
        <v>151</v>
      </c>
      <c r="AJ93" s="1" t="str">
        <f t="shared" si="41"/>
        <v>SYS.CDN.domain_name.http_code_5xx_rate</v>
      </c>
      <c r="AK93" s="1" t="s">
        <v>302</v>
      </c>
      <c r="AL93" s="1" t="s">
        <v>389</v>
      </c>
    </row>
    <row r="94" spans="1:38" hidden="1" x14ac:dyDescent="0.25">
      <c r="A94" s="24">
        <f t="shared" ref="A94:A97" si="42">ROW()-1</f>
        <v>93</v>
      </c>
      <c r="B94" s="25" t="s">
        <v>379</v>
      </c>
      <c r="C94" s="25" t="s">
        <v>380</v>
      </c>
      <c r="D94" s="25" t="s">
        <v>381</v>
      </c>
      <c r="E94" s="25" t="s">
        <v>382</v>
      </c>
      <c r="F94" s="25" t="s">
        <v>383</v>
      </c>
      <c r="G94" s="25" t="s">
        <v>406</v>
      </c>
      <c r="H94" s="25" t="s">
        <v>407</v>
      </c>
      <c r="I94" s="25" t="s">
        <v>408</v>
      </c>
      <c r="J94" s="25" t="s">
        <v>38</v>
      </c>
      <c r="K94" s="25">
        <v>60</v>
      </c>
      <c r="L94" s="25" t="s">
        <v>39</v>
      </c>
      <c r="M94" s="25" t="s">
        <v>58</v>
      </c>
      <c r="N94" s="23" t="s">
        <v>55</v>
      </c>
      <c r="O94" s="23" t="s">
        <v>59</v>
      </c>
      <c r="P94" s="23" t="s">
        <v>60</v>
      </c>
      <c r="Q94" s="23">
        <v>3</v>
      </c>
      <c r="R94" s="23" t="s">
        <v>366</v>
      </c>
      <c r="S94" s="23">
        <v>80</v>
      </c>
      <c r="T94" s="23">
        <v>50</v>
      </c>
      <c r="U94" s="23" t="s">
        <v>58</v>
      </c>
      <c r="V94" s="23" t="s">
        <v>62</v>
      </c>
      <c r="W94" s="23"/>
      <c r="X94" s="23" t="e">
        <f>IF(COUNTIF(#REF!,_xlfn.TEXTJOIN(".",,C94,F94,H94)),"是","否")</f>
        <v>#REF!</v>
      </c>
      <c r="Y94" s="23" t="e">
        <f t="shared" ref="Y94:Y97" si="43">IF(AND(O94="底线指标",X94="是"),"是","否")</f>
        <v>#REF!</v>
      </c>
      <c r="Z94" s="23" t="s">
        <v>55</v>
      </c>
      <c r="AA94" s="27" t="s">
        <v>55</v>
      </c>
      <c r="AB94" s="27" t="s">
        <v>60</v>
      </c>
      <c r="AC94" s="27">
        <v>3</v>
      </c>
      <c r="AD94" s="27" t="s">
        <v>366</v>
      </c>
      <c r="AE94" s="27">
        <v>80</v>
      </c>
      <c r="AF94" s="27">
        <v>50</v>
      </c>
      <c r="AG94" s="27"/>
      <c r="AH94" s="27" t="s">
        <v>58</v>
      </c>
      <c r="AI94" s="27" t="s">
        <v>151</v>
      </c>
      <c r="AJ94" s="1" t="str">
        <f t="shared" ref="AJ94:AJ97" si="44">_xlfn.TEXTJOIN(".",TRUE,C94,F94,H94)</f>
        <v>SYS.CDN.domain_name.hit_flux_rate</v>
      </c>
      <c r="AK94" s="1" t="s">
        <v>302</v>
      </c>
      <c r="AL94" s="1" t="s">
        <v>389</v>
      </c>
    </row>
    <row r="95" spans="1:38" hidden="1" x14ac:dyDescent="0.25">
      <c r="A95" s="24">
        <f t="shared" si="42"/>
        <v>94</v>
      </c>
      <c r="B95" s="25" t="s">
        <v>379</v>
      </c>
      <c r="C95" s="25" t="s">
        <v>380</v>
      </c>
      <c r="D95" s="25" t="s">
        <v>381</v>
      </c>
      <c r="E95" s="25" t="s">
        <v>382</v>
      </c>
      <c r="F95" s="25" t="s">
        <v>383</v>
      </c>
      <c r="G95" s="25" t="s">
        <v>409</v>
      </c>
      <c r="H95" s="25" t="s">
        <v>410</v>
      </c>
      <c r="I95" s="25" t="s">
        <v>411</v>
      </c>
      <c r="J95" s="25" t="s">
        <v>38</v>
      </c>
      <c r="K95" s="25">
        <v>60</v>
      </c>
      <c r="L95" s="25" t="s">
        <v>45</v>
      </c>
      <c r="M95" s="25" t="s">
        <v>58</v>
      </c>
      <c r="N95" s="23" t="s">
        <v>55</v>
      </c>
      <c r="O95" s="23" t="s">
        <v>59</v>
      </c>
      <c r="P95" s="23" t="s">
        <v>60</v>
      </c>
      <c r="Q95" s="23">
        <v>3</v>
      </c>
      <c r="R95" s="23" t="s">
        <v>61</v>
      </c>
      <c r="S95" s="23">
        <v>1</v>
      </c>
      <c r="T95" s="23">
        <v>5</v>
      </c>
      <c r="U95" s="23" t="s">
        <v>58</v>
      </c>
      <c r="V95" s="23" t="s">
        <v>62</v>
      </c>
      <c r="W95" s="23"/>
      <c r="X95" s="23" t="e">
        <f>IF(COUNTIF(#REF!,_xlfn.TEXTJOIN(".",,C95,F95,H95)),"是","否")</f>
        <v>#REF!</v>
      </c>
      <c r="Y95" s="23" t="e">
        <f t="shared" si="43"/>
        <v>#REF!</v>
      </c>
      <c r="Z95" s="23" t="s">
        <v>55</v>
      </c>
      <c r="AA95" s="27" t="s">
        <v>55</v>
      </c>
      <c r="AB95" s="27" t="s">
        <v>60</v>
      </c>
      <c r="AC95" s="27">
        <v>3</v>
      </c>
      <c r="AD95" s="27" t="s">
        <v>61</v>
      </c>
      <c r="AE95" s="27">
        <v>1</v>
      </c>
      <c r="AF95" s="27"/>
      <c r="AG95" s="27"/>
      <c r="AH95" s="27" t="s">
        <v>58</v>
      </c>
      <c r="AI95" s="27" t="s">
        <v>151</v>
      </c>
      <c r="AJ95" s="1" t="str">
        <f t="shared" si="44"/>
        <v>SYS.CDN.domain_name.bs_http_code_5xx_rate</v>
      </c>
      <c r="AK95" s="1" t="s">
        <v>302</v>
      </c>
      <c r="AL95" s="1" t="s">
        <v>389</v>
      </c>
    </row>
    <row r="96" spans="1:38" hidden="1" x14ac:dyDescent="0.25">
      <c r="A96" s="24">
        <f t="shared" si="42"/>
        <v>95</v>
      </c>
      <c r="B96" s="25" t="s">
        <v>412</v>
      </c>
      <c r="C96" s="25" t="s">
        <v>413</v>
      </c>
      <c r="D96" s="25" t="s">
        <v>414</v>
      </c>
      <c r="E96" s="25" t="s">
        <v>415</v>
      </c>
      <c r="F96" s="25" t="s">
        <v>416</v>
      </c>
      <c r="G96" s="25" t="s">
        <v>417</v>
      </c>
      <c r="H96" s="25" t="s">
        <v>418</v>
      </c>
      <c r="I96" s="25" t="s">
        <v>419</v>
      </c>
      <c r="J96" s="25" t="s">
        <v>38</v>
      </c>
      <c r="K96" s="25">
        <v>60</v>
      </c>
      <c r="L96" s="25" t="s">
        <v>39</v>
      </c>
      <c r="M96" s="25" t="s">
        <v>58</v>
      </c>
      <c r="N96" s="23" t="s">
        <v>55</v>
      </c>
      <c r="O96" s="23" t="s">
        <v>59</v>
      </c>
      <c r="P96" s="26" t="s">
        <v>60</v>
      </c>
      <c r="Q96" s="26">
        <v>3</v>
      </c>
      <c r="R96" s="26" t="s">
        <v>366</v>
      </c>
      <c r="S96" s="26">
        <v>95</v>
      </c>
      <c r="T96" s="26">
        <v>90</v>
      </c>
      <c r="U96" s="31" t="s">
        <v>58</v>
      </c>
      <c r="V96" s="26" t="s">
        <v>420</v>
      </c>
      <c r="W96" s="23"/>
      <c r="X96" s="23" t="e">
        <f>IF(COUNTIF(#REF!,_xlfn.TEXTJOIN(".",,C96,F96,H96)),"是","否")</f>
        <v>#REF!</v>
      </c>
      <c r="Y96" s="23" t="e">
        <f t="shared" si="43"/>
        <v>#REF!</v>
      </c>
      <c r="Z96" s="23"/>
      <c r="AA96" s="23"/>
      <c r="AB96" s="23"/>
      <c r="AC96" s="23"/>
      <c r="AD96" s="23"/>
      <c r="AE96" s="23"/>
      <c r="AF96" s="23"/>
      <c r="AG96" s="23"/>
      <c r="AH96" s="23"/>
      <c r="AI96" s="23"/>
      <c r="AJ96" s="1" t="str">
        <f t="shared" si="44"/>
        <v>SYS.EG.subscription_id.sub_success_rate</v>
      </c>
      <c r="AK96" s="1"/>
      <c r="AL96" s="1" t="s">
        <v>389</v>
      </c>
    </row>
    <row r="97" spans="1:38" hidden="1" x14ac:dyDescent="0.25">
      <c r="A97" s="24">
        <f t="shared" si="42"/>
        <v>96</v>
      </c>
      <c r="B97" s="25" t="s">
        <v>412</v>
      </c>
      <c r="C97" s="25" t="s">
        <v>413</v>
      </c>
      <c r="D97" s="25" t="s">
        <v>414</v>
      </c>
      <c r="E97" s="25" t="s">
        <v>415</v>
      </c>
      <c r="F97" s="25" t="s">
        <v>416</v>
      </c>
      <c r="G97" s="25" t="s">
        <v>421</v>
      </c>
      <c r="H97" s="25" t="s">
        <v>422</v>
      </c>
      <c r="I97" s="25" t="s">
        <v>423</v>
      </c>
      <c r="J97" s="25" t="s">
        <v>38</v>
      </c>
      <c r="K97" s="25">
        <v>60</v>
      </c>
      <c r="L97" s="25" t="s">
        <v>39</v>
      </c>
      <c r="M97" s="25" t="s">
        <v>58</v>
      </c>
      <c r="N97" s="23" t="s">
        <v>55</v>
      </c>
      <c r="O97" s="23" t="s">
        <v>59</v>
      </c>
      <c r="P97" s="26" t="s">
        <v>60</v>
      </c>
      <c r="Q97" s="26">
        <v>3</v>
      </c>
      <c r="R97" s="26" t="s">
        <v>61</v>
      </c>
      <c r="S97" s="26">
        <v>5</v>
      </c>
      <c r="T97" s="26">
        <v>10</v>
      </c>
      <c r="U97" s="23" t="s">
        <v>58</v>
      </c>
      <c r="V97" s="26" t="s">
        <v>420</v>
      </c>
      <c r="W97" s="23"/>
      <c r="X97" s="23" t="e">
        <f>IF(COUNTIF(#REF!,_xlfn.TEXTJOIN(".",,C97,F97,H97)),"是","否")</f>
        <v>#REF!</v>
      </c>
      <c r="Y97" s="23" t="e">
        <f t="shared" si="43"/>
        <v>#REF!</v>
      </c>
      <c r="Z97" s="23"/>
      <c r="AA97" s="23"/>
      <c r="AB97" s="23"/>
      <c r="AC97" s="23"/>
      <c r="AD97" s="23"/>
      <c r="AE97" s="23"/>
      <c r="AF97" s="23"/>
      <c r="AG97" s="23"/>
      <c r="AH97" s="23"/>
      <c r="AI97" s="23"/>
      <c r="AJ97" s="1" t="str">
        <f t="shared" si="44"/>
        <v>SYS.EG.subscription_id.sub_failed_rate</v>
      </c>
      <c r="AK97" s="1"/>
      <c r="AL97" s="1" t="s">
        <v>389</v>
      </c>
    </row>
    <row r="98" spans="1:38" hidden="1" x14ac:dyDescent="0.25">
      <c r="A98" s="24">
        <f t="shared" ref="A98:A104" si="45">ROW()-1</f>
        <v>97</v>
      </c>
      <c r="B98" s="25" t="s">
        <v>412</v>
      </c>
      <c r="C98" s="25" t="s">
        <v>413</v>
      </c>
      <c r="D98" s="25" t="s">
        <v>414</v>
      </c>
      <c r="E98" s="25" t="s">
        <v>424</v>
      </c>
      <c r="F98" s="25" t="s">
        <v>425</v>
      </c>
      <c r="G98" s="25" t="s">
        <v>426</v>
      </c>
      <c r="H98" s="25" t="s">
        <v>427</v>
      </c>
      <c r="I98" s="25" t="s">
        <v>428</v>
      </c>
      <c r="J98" s="25" t="s">
        <v>38</v>
      </c>
      <c r="K98" s="25">
        <v>60</v>
      </c>
      <c r="L98" s="25" t="s">
        <v>39</v>
      </c>
      <c r="M98" s="25" t="s">
        <v>58</v>
      </c>
      <c r="N98" s="23" t="s">
        <v>55</v>
      </c>
      <c r="O98" s="23" t="s">
        <v>59</v>
      </c>
      <c r="P98" s="26" t="s">
        <v>60</v>
      </c>
      <c r="Q98" s="26">
        <v>3</v>
      </c>
      <c r="R98" s="26" t="s">
        <v>366</v>
      </c>
      <c r="S98" s="26">
        <v>95</v>
      </c>
      <c r="T98" s="26">
        <v>90</v>
      </c>
      <c r="U98" s="32" t="s">
        <v>58</v>
      </c>
      <c r="V98" s="26" t="s">
        <v>420</v>
      </c>
      <c r="W98" s="23"/>
      <c r="X98" s="23" t="e">
        <f>IF(COUNTIF(#REF!,_xlfn.TEXTJOIN(".",,C98,F98,H98)),"是","否")</f>
        <v>#REF!</v>
      </c>
      <c r="Y98" s="23" t="e">
        <f t="shared" ref="Y98:Y104" si="46">IF(AND(O98="底线指标",X98="是"),"是","否")</f>
        <v>#REF!</v>
      </c>
      <c r="Z98" s="23"/>
      <c r="AA98" s="23"/>
      <c r="AB98" s="23"/>
      <c r="AC98" s="23"/>
      <c r="AD98" s="23"/>
      <c r="AE98" s="23"/>
      <c r="AF98" s="23"/>
      <c r="AG98" s="23"/>
      <c r="AH98" s="23"/>
      <c r="AI98" s="23"/>
      <c r="AJ98" s="1" t="str">
        <f t="shared" ref="AJ98:AJ104" si="47">_xlfn.TEXTJOIN(".",TRUE,C98,F98,H98)</f>
        <v>SYS.EG.channel_id.pub_success_rate</v>
      </c>
      <c r="AK98" s="1"/>
      <c r="AL98" s="1" t="s">
        <v>389</v>
      </c>
    </row>
    <row r="99" spans="1:38" hidden="1" x14ac:dyDescent="0.25">
      <c r="A99" s="24">
        <f t="shared" si="45"/>
        <v>98</v>
      </c>
      <c r="B99" s="25" t="s">
        <v>412</v>
      </c>
      <c r="C99" s="25" t="s">
        <v>413</v>
      </c>
      <c r="D99" s="25" t="s">
        <v>414</v>
      </c>
      <c r="E99" s="25" t="s">
        <v>424</v>
      </c>
      <c r="F99" s="25" t="s">
        <v>425</v>
      </c>
      <c r="G99" s="25" t="s">
        <v>429</v>
      </c>
      <c r="H99" s="25" t="s">
        <v>430</v>
      </c>
      <c r="I99" s="25" t="s">
        <v>431</v>
      </c>
      <c r="J99" s="25" t="s">
        <v>38</v>
      </c>
      <c r="K99" s="25">
        <v>60</v>
      </c>
      <c r="L99" s="25" t="s">
        <v>39</v>
      </c>
      <c r="M99" s="25" t="s">
        <v>58</v>
      </c>
      <c r="N99" s="23" t="s">
        <v>55</v>
      </c>
      <c r="O99" s="23" t="s">
        <v>59</v>
      </c>
      <c r="P99" s="26" t="s">
        <v>60</v>
      </c>
      <c r="Q99" s="26">
        <v>3</v>
      </c>
      <c r="R99" s="26" t="s">
        <v>61</v>
      </c>
      <c r="S99" s="26">
        <v>5</v>
      </c>
      <c r="T99" s="26">
        <v>10</v>
      </c>
      <c r="U99" s="23" t="s">
        <v>58</v>
      </c>
      <c r="V99" s="26" t="s">
        <v>420</v>
      </c>
      <c r="W99" s="23"/>
      <c r="X99" s="23" t="e">
        <f>IF(COUNTIF(#REF!,_xlfn.TEXTJOIN(".",,C99,F99,H99)),"是","否")</f>
        <v>#REF!</v>
      </c>
      <c r="Y99" s="23" t="e">
        <f t="shared" si="46"/>
        <v>#REF!</v>
      </c>
      <c r="Z99" s="23"/>
      <c r="AA99" s="23"/>
      <c r="AB99" s="23"/>
      <c r="AC99" s="23"/>
      <c r="AD99" s="23"/>
      <c r="AE99" s="23"/>
      <c r="AF99" s="23"/>
      <c r="AG99" s="23"/>
      <c r="AH99" s="23"/>
      <c r="AI99" s="23"/>
      <c r="AJ99" s="1" t="str">
        <f t="shared" si="47"/>
        <v>SYS.EG.channel_id.pub_failed_rate</v>
      </c>
      <c r="AK99" s="1"/>
      <c r="AL99" s="1" t="s">
        <v>389</v>
      </c>
    </row>
    <row r="100" spans="1:38" hidden="1" x14ac:dyDescent="0.25">
      <c r="A100" s="24">
        <f t="shared" si="45"/>
        <v>99</v>
      </c>
      <c r="B100" s="25" t="s">
        <v>434</v>
      </c>
      <c r="C100" s="25" t="s">
        <v>435</v>
      </c>
      <c r="D100" s="25" t="s">
        <v>436</v>
      </c>
      <c r="E100" s="25" t="s">
        <v>437</v>
      </c>
      <c r="F100" s="25" t="s">
        <v>438</v>
      </c>
      <c r="G100" s="25" t="s">
        <v>439</v>
      </c>
      <c r="H100" s="25" t="s">
        <v>440</v>
      </c>
      <c r="I100" s="25" t="s">
        <v>441</v>
      </c>
      <c r="J100" s="25" t="s">
        <v>38</v>
      </c>
      <c r="K100" s="25">
        <v>300</v>
      </c>
      <c r="L100" s="25"/>
      <c r="M100" s="25" t="s">
        <v>442</v>
      </c>
      <c r="N100" s="23" t="s">
        <v>55</v>
      </c>
      <c r="O100" s="23" t="s">
        <v>59</v>
      </c>
      <c r="P100" s="23" t="s">
        <v>60</v>
      </c>
      <c r="Q100" s="23">
        <v>3</v>
      </c>
      <c r="R100" s="23" t="s">
        <v>240</v>
      </c>
      <c r="S100" s="23"/>
      <c r="T100" s="23">
        <v>500</v>
      </c>
      <c r="U100" s="22" t="s">
        <v>442</v>
      </c>
      <c r="V100" s="23" t="s">
        <v>62</v>
      </c>
      <c r="W100" s="23"/>
      <c r="X100" s="23" t="e">
        <f>IF(COUNTIF(#REF!,_xlfn.TEXTJOIN(".",,C100,F100,H100)),"是","否")</f>
        <v>#REF!</v>
      </c>
      <c r="Y100" s="23" t="e">
        <f t="shared" si="46"/>
        <v>#REF!</v>
      </c>
      <c r="Z100" s="23"/>
      <c r="AA100" s="23" t="s">
        <v>55</v>
      </c>
      <c r="AB100" s="23" t="s">
        <v>60</v>
      </c>
      <c r="AC100" s="23">
        <v>3</v>
      </c>
      <c r="AD100" s="23" t="s">
        <v>61</v>
      </c>
      <c r="AE100" s="23"/>
      <c r="AF100" s="23">
        <v>500</v>
      </c>
      <c r="AG100" s="23"/>
      <c r="AH100" s="23" t="s">
        <v>442</v>
      </c>
      <c r="AI100" s="23" t="s">
        <v>62</v>
      </c>
      <c r="AJ100" s="1" t="str">
        <f t="shared" si="47"/>
        <v>SYS.EVS.disk_name.disk_device_write_await</v>
      </c>
      <c r="AK100" s="1"/>
      <c r="AL100" s="33" t="s">
        <v>55</v>
      </c>
    </row>
    <row r="101" spans="1:38" hidden="1" x14ac:dyDescent="0.25">
      <c r="A101" s="24">
        <f t="shared" si="45"/>
        <v>100</v>
      </c>
      <c r="B101" s="25" t="s">
        <v>434</v>
      </c>
      <c r="C101" s="25" t="s">
        <v>435</v>
      </c>
      <c r="D101" s="25" t="s">
        <v>436</v>
      </c>
      <c r="E101" s="25" t="s">
        <v>437</v>
      </c>
      <c r="F101" s="25" t="s">
        <v>438</v>
      </c>
      <c r="G101" s="25" t="s">
        <v>443</v>
      </c>
      <c r="H101" s="25" t="s">
        <v>444</v>
      </c>
      <c r="I101" s="25" t="s">
        <v>445</v>
      </c>
      <c r="J101" s="25" t="s">
        <v>38</v>
      </c>
      <c r="K101" s="25">
        <v>300</v>
      </c>
      <c r="L101" s="25"/>
      <c r="M101" s="25" t="s">
        <v>442</v>
      </c>
      <c r="N101" s="23" t="s">
        <v>55</v>
      </c>
      <c r="O101" s="23" t="s">
        <v>59</v>
      </c>
      <c r="P101" s="23" t="s">
        <v>60</v>
      </c>
      <c r="Q101" s="23">
        <v>3</v>
      </c>
      <c r="R101" s="23" t="s">
        <v>240</v>
      </c>
      <c r="S101" s="23"/>
      <c r="T101" s="23">
        <v>400</v>
      </c>
      <c r="U101" s="22" t="s">
        <v>442</v>
      </c>
      <c r="V101" s="23" t="s">
        <v>62</v>
      </c>
      <c r="W101" s="23"/>
      <c r="X101" s="23" t="e">
        <f>IF(COUNTIF(#REF!,_xlfn.TEXTJOIN(".",,C101,F101,H101)),"是","否")</f>
        <v>#REF!</v>
      </c>
      <c r="Y101" s="23" t="e">
        <f t="shared" si="46"/>
        <v>#REF!</v>
      </c>
      <c r="Z101" s="23"/>
      <c r="AA101" s="23" t="s">
        <v>55</v>
      </c>
      <c r="AB101" s="23" t="s">
        <v>60</v>
      </c>
      <c r="AC101" s="23">
        <v>3</v>
      </c>
      <c r="AD101" s="23" t="s">
        <v>61</v>
      </c>
      <c r="AE101" s="23"/>
      <c r="AF101" s="23">
        <v>400</v>
      </c>
      <c r="AG101" s="23"/>
      <c r="AH101" s="23" t="s">
        <v>442</v>
      </c>
      <c r="AI101" s="23" t="s">
        <v>62</v>
      </c>
      <c r="AJ101" s="1" t="str">
        <f t="shared" si="47"/>
        <v>SYS.EVS.disk_name.disk_device_read_await</v>
      </c>
      <c r="AK101" s="1"/>
      <c r="AL101" s="33" t="s">
        <v>55</v>
      </c>
    </row>
    <row r="102" spans="1:38" hidden="1" x14ac:dyDescent="0.25">
      <c r="A102" s="24">
        <f t="shared" si="45"/>
        <v>101</v>
      </c>
      <c r="B102" s="25" t="s">
        <v>434</v>
      </c>
      <c r="C102" s="25" t="s">
        <v>435</v>
      </c>
      <c r="D102" s="25" t="s">
        <v>436</v>
      </c>
      <c r="E102" s="25" t="s">
        <v>437</v>
      </c>
      <c r="F102" s="25" t="s">
        <v>438</v>
      </c>
      <c r="G102" s="25" t="s">
        <v>446</v>
      </c>
      <c r="H102" s="25" t="s">
        <v>447</v>
      </c>
      <c r="I102" s="25" t="s">
        <v>448</v>
      </c>
      <c r="J102" s="25" t="s">
        <v>38</v>
      </c>
      <c r="K102" s="25">
        <v>300</v>
      </c>
      <c r="L102" s="25"/>
      <c r="M102" s="25" t="s">
        <v>172</v>
      </c>
      <c r="N102" s="23" t="s">
        <v>55</v>
      </c>
      <c r="O102" s="23" t="s">
        <v>59</v>
      </c>
      <c r="P102" s="23" t="s">
        <v>60</v>
      </c>
      <c r="Q102" s="23">
        <v>3</v>
      </c>
      <c r="R102" s="23" t="s">
        <v>240</v>
      </c>
      <c r="S102" s="23"/>
      <c r="T102" s="23">
        <v>5</v>
      </c>
      <c r="U102" s="22" t="s">
        <v>172</v>
      </c>
      <c r="V102" s="23" t="s">
        <v>62</v>
      </c>
      <c r="W102" s="23"/>
      <c r="X102" s="23" t="e">
        <f>IF(COUNTIF(#REF!,_xlfn.TEXTJOIN(".",,C102,F102,H102)),"是","否")</f>
        <v>#REF!</v>
      </c>
      <c r="Y102" s="23" t="e">
        <f t="shared" si="46"/>
        <v>#REF!</v>
      </c>
      <c r="Z102" s="23"/>
      <c r="AA102" s="23" t="s">
        <v>55</v>
      </c>
      <c r="AB102" s="23" t="s">
        <v>60</v>
      </c>
      <c r="AC102" s="23">
        <v>3</v>
      </c>
      <c r="AD102" s="23" t="s">
        <v>61</v>
      </c>
      <c r="AE102" s="23"/>
      <c r="AF102" s="23">
        <v>4</v>
      </c>
      <c r="AG102" s="23" t="s">
        <v>449</v>
      </c>
      <c r="AH102" s="23" t="s">
        <v>46</v>
      </c>
      <c r="AI102" s="23" t="s">
        <v>62</v>
      </c>
      <c r="AJ102" s="1" t="str">
        <f t="shared" si="47"/>
        <v>SYS.EVS.disk_name.disk_device_io_iops_qos_num</v>
      </c>
      <c r="AK102" s="1"/>
      <c r="AL102" s="33" t="s">
        <v>55</v>
      </c>
    </row>
    <row r="103" spans="1:38" hidden="1" x14ac:dyDescent="0.25">
      <c r="A103" s="24">
        <f t="shared" si="45"/>
        <v>102</v>
      </c>
      <c r="B103" s="25" t="s">
        <v>434</v>
      </c>
      <c r="C103" s="25" t="s">
        <v>435</v>
      </c>
      <c r="D103" s="25" t="s">
        <v>436</v>
      </c>
      <c r="E103" s="25" t="s">
        <v>437</v>
      </c>
      <c r="F103" s="25" t="s">
        <v>438</v>
      </c>
      <c r="G103" s="25" t="s">
        <v>450</v>
      </c>
      <c r="H103" s="25" t="s">
        <v>451</v>
      </c>
      <c r="I103" s="25" t="s">
        <v>452</v>
      </c>
      <c r="J103" s="25" t="s">
        <v>38</v>
      </c>
      <c r="K103" s="25">
        <v>300</v>
      </c>
      <c r="L103" s="25"/>
      <c r="M103" s="25" t="s">
        <v>172</v>
      </c>
      <c r="N103" s="23" t="s">
        <v>55</v>
      </c>
      <c r="O103" s="23" t="s">
        <v>59</v>
      </c>
      <c r="P103" s="23" t="s">
        <v>60</v>
      </c>
      <c r="Q103" s="23">
        <v>3</v>
      </c>
      <c r="R103" s="23" t="s">
        <v>240</v>
      </c>
      <c r="S103" s="23"/>
      <c r="T103" s="23">
        <v>5</v>
      </c>
      <c r="U103" s="22" t="s">
        <v>172</v>
      </c>
      <c r="V103" s="23" t="s">
        <v>62</v>
      </c>
      <c r="W103" s="23"/>
      <c r="X103" s="23" t="e">
        <f>IF(COUNTIF(#REF!,_xlfn.TEXTJOIN(".",,C103,F103,H103)),"是","否")</f>
        <v>#REF!</v>
      </c>
      <c r="Y103" s="23" t="e">
        <f t="shared" si="46"/>
        <v>#REF!</v>
      </c>
      <c r="Z103" s="23"/>
      <c r="AA103" s="23" t="s">
        <v>55</v>
      </c>
      <c r="AB103" s="23" t="s">
        <v>60</v>
      </c>
      <c r="AC103" s="23">
        <v>3</v>
      </c>
      <c r="AD103" s="23" t="s">
        <v>61</v>
      </c>
      <c r="AE103" s="23"/>
      <c r="AF103" s="23">
        <v>4</v>
      </c>
      <c r="AG103" s="23" t="s">
        <v>449</v>
      </c>
      <c r="AH103" s="23" t="s">
        <v>46</v>
      </c>
      <c r="AI103" s="23" t="s">
        <v>62</v>
      </c>
      <c r="AJ103" s="1" t="str">
        <f t="shared" si="47"/>
        <v>SYS.EVS.disk_name.disk_device_io_iobw_qos_num</v>
      </c>
      <c r="AK103" s="1"/>
      <c r="AL103" s="33" t="s">
        <v>55</v>
      </c>
    </row>
    <row r="104" spans="1:38" hidden="1" x14ac:dyDescent="0.25">
      <c r="A104" s="24">
        <f t="shared" si="45"/>
        <v>103</v>
      </c>
      <c r="B104" s="25" t="s">
        <v>453</v>
      </c>
      <c r="C104" s="25" t="s">
        <v>454</v>
      </c>
      <c r="D104" s="25" t="s">
        <v>455</v>
      </c>
      <c r="E104" s="25" t="s">
        <v>137</v>
      </c>
      <c r="F104" s="25" t="s">
        <v>456</v>
      </c>
      <c r="G104" s="25" t="s">
        <v>376</v>
      </c>
      <c r="H104" s="25" t="s">
        <v>377</v>
      </c>
      <c r="I104" s="22" t="s">
        <v>458</v>
      </c>
      <c r="J104" s="22" t="s">
        <v>38</v>
      </c>
      <c r="K104" s="22">
        <v>60</v>
      </c>
      <c r="L104" s="22"/>
      <c r="M104" s="22" t="s">
        <v>457</v>
      </c>
      <c r="N104" s="22"/>
      <c r="O104" s="23" t="s">
        <v>59</v>
      </c>
      <c r="P104" s="23" t="s">
        <v>60</v>
      </c>
      <c r="Q104" s="23">
        <v>3</v>
      </c>
      <c r="R104" s="23" t="s">
        <v>61</v>
      </c>
      <c r="S104" s="23">
        <v>1</v>
      </c>
      <c r="T104" s="23"/>
      <c r="U104" s="3" t="s">
        <v>457</v>
      </c>
      <c r="V104" s="23" t="s">
        <v>459</v>
      </c>
      <c r="W104" s="23"/>
      <c r="X104" s="23" t="e">
        <f>IF(COUNTIF(#REF!,_xlfn.TEXTJOIN(".",,C104,F104,H104)),"是","否")</f>
        <v>#REF!</v>
      </c>
      <c r="Y104" s="23" t="e">
        <f t="shared" si="46"/>
        <v>#REF!</v>
      </c>
      <c r="Z104" s="23"/>
      <c r="AA104" s="23"/>
      <c r="AB104" s="23"/>
      <c r="AC104" s="23"/>
      <c r="AD104" s="23"/>
      <c r="AE104" s="23"/>
      <c r="AF104" s="23"/>
      <c r="AG104" s="23"/>
      <c r="AH104" s="23"/>
      <c r="AI104" s="23"/>
      <c r="AJ104" s="1" t="str">
        <f t="shared" si="47"/>
        <v>SYS.UPredict.service_name.failed_called_times</v>
      </c>
      <c r="AK104" s="1"/>
      <c r="AL104" s="1"/>
    </row>
    <row r="105" spans="1:38" hidden="1" x14ac:dyDescent="0.25">
      <c r="A105" s="24">
        <f t="shared" ref="A105:A112" si="48">ROW()-1</f>
        <v>104</v>
      </c>
      <c r="B105" s="25" t="s">
        <v>465</v>
      </c>
      <c r="C105" s="25" t="s">
        <v>466</v>
      </c>
      <c r="D105" s="25" t="s">
        <v>467</v>
      </c>
      <c r="E105" s="25" t="s">
        <v>468</v>
      </c>
      <c r="F105" s="25" t="s">
        <v>71</v>
      </c>
      <c r="G105" s="25" t="s">
        <v>469</v>
      </c>
      <c r="H105" s="25" t="s">
        <v>470</v>
      </c>
      <c r="I105" s="25" t="s">
        <v>471</v>
      </c>
      <c r="J105" s="25" t="s">
        <v>38</v>
      </c>
      <c r="K105" s="25">
        <v>60</v>
      </c>
      <c r="L105" s="25"/>
      <c r="M105" s="25" t="s">
        <v>58</v>
      </c>
      <c r="N105" s="23" t="s">
        <v>55</v>
      </c>
      <c r="O105" s="23" t="s">
        <v>59</v>
      </c>
      <c r="P105" s="23" t="s">
        <v>60</v>
      </c>
      <c r="Q105" s="23">
        <v>3</v>
      </c>
      <c r="R105" s="23" t="s">
        <v>61</v>
      </c>
      <c r="S105" s="23">
        <v>80</v>
      </c>
      <c r="T105" s="23">
        <v>90</v>
      </c>
      <c r="U105" s="23" t="s">
        <v>58</v>
      </c>
      <c r="V105" s="23" t="s">
        <v>62</v>
      </c>
      <c r="W105" s="23"/>
      <c r="X105" s="23" t="e">
        <f>IF(COUNTIF(#REF!,_xlfn.TEXTJOIN(".",,C105,F105,H105)),"是","否")</f>
        <v>#REF!</v>
      </c>
      <c r="Y105" s="23" t="e">
        <f t="shared" ref="Y105:Y112" si="49">IF(AND(O105="底线指标",X105="是"),"是","否")</f>
        <v>#REF!</v>
      </c>
      <c r="Z105" s="23"/>
      <c r="AA105" s="23"/>
      <c r="AB105" s="23"/>
      <c r="AC105" s="23"/>
      <c r="AD105" s="23"/>
      <c r="AE105" s="23"/>
      <c r="AF105" s="23"/>
      <c r="AG105" s="23"/>
      <c r="AH105" s="23"/>
      <c r="AI105" s="23"/>
      <c r="AJ105" s="1" t="str">
        <f t="shared" ref="AJ105:AJ112" si="50">_xlfn.TEXTJOIN(".",TRUE,C105,F105,H105)</f>
        <v>SYS.GES.instance_id.ges001_vertex_util</v>
      </c>
      <c r="AK105" s="1"/>
      <c r="AL105" s="1"/>
    </row>
    <row r="106" spans="1:38" hidden="1" x14ac:dyDescent="0.25">
      <c r="A106" s="24">
        <f t="shared" si="48"/>
        <v>105</v>
      </c>
      <c r="B106" s="25" t="s">
        <v>465</v>
      </c>
      <c r="C106" s="25" t="s">
        <v>466</v>
      </c>
      <c r="D106" s="25" t="s">
        <v>467</v>
      </c>
      <c r="E106" s="25" t="s">
        <v>468</v>
      </c>
      <c r="F106" s="25" t="s">
        <v>71</v>
      </c>
      <c r="G106" s="25" t="s">
        <v>472</v>
      </c>
      <c r="H106" s="25" t="s">
        <v>473</v>
      </c>
      <c r="I106" s="25" t="s">
        <v>474</v>
      </c>
      <c r="J106" s="25" t="s">
        <v>38</v>
      </c>
      <c r="K106" s="25">
        <v>60</v>
      </c>
      <c r="L106" s="25"/>
      <c r="M106" s="25" t="s">
        <v>58</v>
      </c>
      <c r="N106" s="23" t="s">
        <v>55</v>
      </c>
      <c r="O106" s="23" t="s">
        <v>59</v>
      </c>
      <c r="P106" s="23" t="s">
        <v>60</v>
      </c>
      <c r="Q106" s="23">
        <v>3</v>
      </c>
      <c r="R106" s="23" t="s">
        <v>61</v>
      </c>
      <c r="S106" s="23">
        <v>80</v>
      </c>
      <c r="T106" s="23">
        <v>90</v>
      </c>
      <c r="U106" s="23" t="s">
        <v>58</v>
      </c>
      <c r="V106" s="23" t="s">
        <v>62</v>
      </c>
      <c r="W106" s="23"/>
      <c r="X106" s="23" t="e">
        <f>IF(COUNTIF(#REF!,_xlfn.TEXTJOIN(".",,C106,F106,H106)),"是","否")</f>
        <v>#REF!</v>
      </c>
      <c r="Y106" s="23" t="e">
        <f t="shared" si="49"/>
        <v>#REF!</v>
      </c>
      <c r="Z106" s="23"/>
      <c r="AA106" s="23"/>
      <c r="AB106" s="23"/>
      <c r="AC106" s="23"/>
      <c r="AD106" s="23"/>
      <c r="AE106" s="23"/>
      <c r="AF106" s="23"/>
      <c r="AG106" s="23"/>
      <c r="AH106" s="23"/>
      <c r="AI106" s="23"/>
      <c r="AJ106" s="1" t="str">
        <f t="shared" si="50"/>
        <v>SYS.GES.instance_id.ges002_edge_util</v>
      </c>
      <c r="AK106" s="1"/>
      <c r="AL106" s="1"/>
    </row>
    <row r="107" spans="1:38" hidden="1" x14ac:dyDescent="0.25">
      <c r="A107" s="24">
        <f t="shared" si="48"/>
        <v>106</v>
      </c>
      <c r="B107" s="25" t="s">
        <v>465</v>
      </c>
      <c r="C107" s="25" t="s">
        <v>466</v>
      </c>
      <c r="D107" s="25" t="s">
        <v>467</v>
      </c>
      <c r="E107" s="25" t="s">
        <v>468</v>
      </c>
      <c r="F107" s="25" t="s">
        <v>71</v>
      </c>
      <c r="G107" s="25" t="s">
        <v>475</v>
      </c>
      <c r="H107" s="25" t="s">
        <v>476</v>
      </c>
      <c r="I107" s="22" t="s">
        <v>477</v>
      </c>
      <c r="J107" s="22" t="s">
        <v>38</v>
      </c>
      <c r="K107" s="22">
        <v>60</v>
      </c>
      <c r="L107" s="22"/>
      <c r="M107" s="22" t="s">
        <v>58</v>
      </c>
      <c r="N107" s="23" t="s">
        <v>55</v>
      </c>
      <c r="O107" s="23" t="s">
        <v>59</v>
      </c>
      <c r="P107" s="23" t="s">
        <v>60</v>
      </c>
      <c r="Q107" s="23">
        <v>5</v>
      </c>
      <c r="R107" s="23" t="s">
        <v>61</v>
      </c>
      <c r="S107" s="23">
        <v>90</v>
      </c>
      <c r="T107" s="23"/>
      <c r="U107" s="22" t="s">
        <v>58</v>
      </c>
      <c r="V107" s="23" t="s">
        <v>62</v>
      </c>
      <c r="W107" s="23"/>
      <c r="X107" s="23" t="e">
        <f>IF(COUNTIF(#REF!,_xlfn.TEXTJOIN(".",,C107,F107,H107)),"是","否")</f>
        <v>#REF!</v>
      </c>
      <c r="Y107" s="23" t="e">
        <f t="shared" si="49"/>
        <v>#REF!</v>
      </c>
      <c r="Z107" s="23"/>
      <c r="AA107" s="23"/>
      <c r="AB107" s="23"/>
      <c r="AC107" s="23"/>
      <c r="AD107" s="23"/>
      <c r="AE107" s="23"/>
      <c r="AF107" s="23"/>
      <c r="AG107" s="23"/>
      <c r="AH107" s="23"/>
      <c r="AI107" s="23"/>
      <c r="AJ107" s="1" t="str">
        <f t="shared" si="50"/>
        <v>SYS.GES.instance_id.ges020_computer_resource_usage</v>
      </c>
      <c r="AK107" s="1"/>
      <c r="AL107" s="1"/>
    </row>
    <row r="108" spans="1:38" hidden="1" x14ac:dyDescent="0.25">
      <c r="A108" s="24">
        <f t="shared" si="48"/>
        <v>107</v>
      </c>
      <c r="B108" s="25" t="s">
        <v>465</v>
      </c>
      <c r="C108" s="25" t="s">
        <v>466</v>
      </c>
      <c r="D108" s="25" t="s">
        <v>467</v>
      </c>
      <c r="E108" s="25" t="s">
        <v>468</v>
      </c>
      <c r="F108" s="25" t="s">
        <v>71</v>
      </c>
      <c r="G108" s="25" t="s">
        <v>478</v>
      </c>
      <c r="H108" s="25" t="s">
        <v>479</v>
      </c>
      <c r="I108" s="25" t="s">
        <v>480</v>
      </c>
      <c r="J108" s="25" t="s">
        <v>38</v>
      </c>
      <c r="K108" s="25">
        <v>60</v>
      </c>
      <c r="L108" s="25"/>
      <c r="M108" s="25" t="s">
        <v>58</v>
      </c>
      <c r="N108" s="23" t="s">
        <v>55</v>
      </c>
      <c r="O108" s="23" t="s">
        <v>59</v>
      </c>
      <c r="P108" s="23" t="s">
        <v>60</v>
      </c>
      <c r="Q108" s="23">
        <v>3</v>
      </c>
      <c r="R108" s="23" t="s">
        <v>61</v>
      </c>
      <c r="S108" s="23">
        <v>70</v>
      </c>
      <c r="T108" s="23">
        <v>85</v>
      </c>
      <c r="U108" s="23" t="s">
        <v>58</v>
      </c>
      <c r="V108" s="23" t="s">
        <v>62</v>
      </c>
      <c r="W108" s="23"/>
      <c r="X108" s="23" t="e">
        <f>IF(COUNTIF(#REF!,_xlfn.TEXTJOIN(".",,C108,F108,H108)),"是","否")</f>
        <v>#REF!</v>
      </c>
      <c r="Y108" s="23" t="e">
        <f t="shared" si="49"/>
        <v>#REF!</v>
      </c>
      <c r="Z108" s="23"/>
      <c r="AA108" s="23"/>
      <c r="AB108" s="23"/>
      <c r="AC108" s="23"/>
      <c r="AD108" s="23"/>
      <c r="AE108" s="23"/>
      <c r="AF108" s="23"/>
      <c r="AG108" s="23"/>
      <c r="AH108" s="23"/>
      <c r="AI108" s="23"/>
      <c r="AJ108" s="1" t="str">
        <f t="shared" si="50"/>
        <v>SYS.GES.instance_id.ges021_memory_usage</v>
      </c>
      <c r="AK108" s="1"/>
      <c r="AL108" s="1"/>
    </row>
    <row r="109" spans="1:38" hidden="1" x14ac:dyDescent="0.25">
      <c r="A109" s="24">
        <f t="shared" si="48"/>
        <v>108</v>
      </c>
      <c r="B109" s="25" t="s">
        <v>465</v>
      </c>
      <c r="C109" s="25" t="s">
        <v>466</v>
      </c>
      <c r="D109" s="25" t="s">
        <v>467</v>
      </c>
      <c r="E109" s="25" t="s">
        <v>468</v>
      </c>
      <c r="F109" s="25" t="s">
        <v>71</v>
      </c>
      <c r="G109" s="25" t="s">
        <v>344</v>
      </c>
      <c r="H109" s="25" t="s">
        <v>481</v>
      </c>
      <c r="I109" s="25" t="s">
        <v>482</v>
      </c>
      <c r="J109" s="25" t="s">
        <v>38</v>
      </c>
      <c r="K109" s="25">
        <v>60</v>
      </c>
      <c r="L109" s="25"/>
      <c r="M109" s="25" t="s">
        <v>58</v>
      </c>
      <c r="N109" s="23" t="s">
        <v>55</v>
      </c>
      <c r="O109" s="23" t="s">
        <v>59</v>
      </c>
      <c r="P109" s="23" t="s">
        <v>60</v>
      </c>
      <c r="Q109" s="23">
        <v>3</v>
      </c>
      <c r="R109" s="23" t="s">
        <v>61</v>
      </c>
      <c r="S109" s="23">
        <v>80</v>
      </c>
      <c r="T109" s="23">
        <v>90</v>
      </c>
      <c r="U109" s="23" t="s">
        <v>58</v>
      </c>
      <c r="V109" s="23" t="s">
        <v>62</v>
      </c>
      <c r="W109" s="23"/>
      <c r="X109" s="23" t="e">
        <f>IF(COUNTIF(#REF!,_xlfn.TEXTJOIN(".",,C109,F109,H109)),"是","否")</f>
        <v>#REF!</v>
      </c>
      <c r="Y109" s="23" t="e">
        <f t="shared" si="49"/>
        <v>#REF!</v>
      </c>
      <c r="Z109" s="23"/>
      <c r="AA109" s="23"/>
      <c r="AB109" s="23"/>
      <c r="AC109" s="23"/>
      <c r="AD109" s="23"/>
      <c r="AE109" s="23"/>
      <c r="AF109" s="23"/>
      <c r="AG109" s="23"/>
      <c r="AH109" s="23"/>
      <c r="AI109" s="23"/>
      <c r="AJ109" s="1" t="str">
        <f t="shared" si="50"/>
        <v>SYS.GES.instance_id.ges025_disk_usage</v>
      </c>
      <c r="AK109" s="1"/>
      <c r="AL109" s="1"/>
    </row>
    <row r="110" spans="1:38" hidden="1" x14ac:dyDescent="0.25">
      <c r="A110" s="24">
        <f t="shared" si="48"/>
        <v>109</v>
      </c>
      <c r="B110" s="25" t="s">
        <v>483</v>
      </c>
      <c r="C110" s="25" t="s">
        <v>484</v>
      </c>
      <c r="D110" s="25" t="s">
        <v>485</v>
      </c>
      <c r="E110" s="25" t="s">
        <v>486</v>
      </c>
      <c r="F110" s="25" t="s">
        <v>71</v>
      </c>
      <c r="G110" s="25" t="s">
        <v>72</v>
      </c>
      <c r="H110" s="25" t="s">
        <v>73</v>
      </c>
      <c r="I110" s="25" t="s">
        <v>487</v>
      </c>
      <c r="J110" s="25" t="s">
        <v>38</v>
      </c>
      <c r="K110" s="25">
        <v>60</v>
      </c>
      <c r="L110" s="25" t="s">
        <v>39</v>
      </c>
      <c r="M110" s="25" t="s">
        <v>58</v>
      </c>
      <c r="N110" s="23" t="s">
        <v>55</v>
      </c>
      <c r="O110" s="23" t="s">
        <v>59</v>
      </c>
      <c r="P110" s="23" t="s">
        <v>60</v>
      </c>
      <c r="Q110" s="23">
        <v>3</v>
      </c>
      <c r="R110" s="23" t="s">
        <v>61</v>
      </c>
      <c r="S110" s="23">
        <v>80</v>
      </c>
      <c r="T110" s="23">
        <v>90</v>
      </c>
      <c r="U110" s="23" t="s">
        <v>58</v>
      </c>
      <c r="V110" s="23" t="s">
        <v>62</v>
      </c>
      <c r="W110" s="23"/>
      <c r="X110" s="23" t="e">
        <f>IF(COUNTIF(#REF!,_xlfn.TEXTJOIN(".",,C110,F110,H110)),"是","否")</f>
        <v>#REF!</v>
      </c>
      <c r="Y110" s="23" t="e">
        <f t="shared" si="49"/>
        <v>#REF!</v>
      </c>
      <c r="Z110" s="23" t="s">
        <v>55</v>
      </c>
      <c r="AA110" s="27" t="s">
        <v>55</v>
      </c>
      <c r="AB110" s="27" t="s">
        <v>60</v>
      </c>
      <c r="AC110" s="27">
        <v>3</v>
      </c>
      <c r="AD110" s="27" t="s">
        <v>61</v>
      </c>
      <c r="AE110" s="27">
        <v>80</v>
      </c>
      <c r="AF110" s="27"/>
      <c r="AG110" s="27" t="s">
        <v>488</v>
      </c>
      <c r="AH110" s="27" t="s">
        <v>58</v>
      </c>
      <c r="AI110" s="27" t="s">
        <v>151</v>
      </c>
      <c r="AJ110" s="1" t="str">
        <f t="shared" si="50"/>
        <v>SYS.WAF.instance_id.cpu_util</v>
      </c>
      <c r="AK110" s="1" t="s">
        <v>152</v>
      </c>
      <c r="AL110" s="33" t="s">
        <v>55</v>
      </c>
    </row>
    <row r="111" spans="1:38" hidden="1" x14ac:dyDescent="0.25">
      <c r="A111" s="24">
        <f t="shared" si="48"/>
        <v>110</v>
      </c>
      <c r="B111" s="25" t="s">
        <v>483</v>
      </c>
      <c r="C111" s="25" t="s">
        <v>484</v>
      </c>
      <c r="D111" s="25" t="s">
        <v>485</v>
      </c>
      <c r="E111" s="25" t="s">
        <v>486</v>
      </c>
      <c r="F111" s="25" t="s">
        <v>71</v>
      </c>
      <c r="G111" s="25" t="s">
        <v>76</v>
      </c>
      <c r="H111" s="25" t="s">
        <v>77</v>
      </c>
      <c r="I111" s="25" t="s">
        <v>489</v>
      </c>
      <c r="J111" s="25" t="s">
        <v>38</v>
      </c>
      <c r="K111" s="25">
        <v>60</v>
      </c>
      <c r="L111" s="25" t="s">
        <v>39</v>
      </c>
      <c r="M111" s="25" t="s">
        <v>58</v>
      </c>
      <c r="N111" s="23" t="s">
        <v>55</v>
      </c>
      <c r="O111" s="23" t="s">
        <v>59</v>
      </c>
      <c r="P111" s="23" t="s">
        <v>60</v>
      </c>
      <c r="Q111" s="23">
        <v>3</v>
      </c>
      <c r="R111" s="23" t="s">
        <v>61</v>
      </c>
      <c r="S111" s="23">
        <v>80</v>
      </c>
      <c r="T111" s="23">
        <v>90</v>
      </c>
      <c r="U111" s="23" t="s">
        <v>58</v>
      </c>
      <c r="V111" s="23" t="s">
        <v>62</v>
      </c>
      <c r="W111" s="23"/>
      <c r="X111" s="23" t="e">
        <f>IF(COUNTIF(#REF!,_xlfn.TEXTJOIN(".",,C111,F111,H111)),"是","否")</f>
        <v>#REF!</v>
      </c>
      <c r="Y111" s="23" t="e">
        <f t="shared" si="49"/>
        <v>#REF!</v>
      </c>
      <c r="Z111" s="23" t="s">
        <v>55</v>
      </c>
      <c r="AA111" s="27" t="s">
        <v>55</v>
      </c>
      <c r="AB111" s="27" t="s">
        <v>60</v>
      </c>
      <c r="AC111" s="27">
        <v>3</v>
      </c>
      <c r="AD111" s="27" t="s">
        <v>61</v>
      </c>
      <c r="AE111" s="27">
        <v>80</v>
      </c>
      <c r="AF111" s="27"/>
      <c r="AG111" s="27" t="s">
        <v>488</v>
      </c>
      <c r="AH111" s="27" t="s">
        <v>58</v>
      </c>
      <c r="AI111" s="27" t="s">
        <v>151</v>
      </c>
      <c r="AJ111" s="1" t="str">
        <f t="shared" si="50"/>
        <v>SYS.WAF.instance_id.mem_util</v>
      </c>
      <c r="AK111" s="1" t="s">
        <v>152</v>
      </c>
      <c r="AL111" s="33" t="s">
        <v>55</v>
      </c>
    </row>
    <row r="112" spans="1:38" hidden="1" x14ac:dyDescent="0.25">
      <c r="A112" s="24">
        <f t="shared" si="48"/>
        <v>111</v>
      </c>
      <c r="B112" s="25" t="s">
        <v>483</v>
      </c>
      <c r="C112" s="25" t="s">
        <v>484</v>
      </c>
      <c r="D112" s="25" t="s">
        <v>485</v>
      </c>
      <c r="E112" s="25" t="s">
        <v>486</v>
      </c>
      <c r="F112" s="25" t="s">
        <v>71</v>
      </c>
      <c r="G112" s="25" t="s">
        <v>79</v>
      </c>
      <c r="H112" s="25" t="s">
        <v>463</v>
      </c>
      <c r="I112" s="25" t="s">
        <v>490</v>
      </c>
      <c r="J112" s="25" t="s">
        <v>38</v>
      </c>
      <c r="K112" s="25">
        <v>60</v>
      </c>
      <c r="L112" s="25" t="s">
        <v>39</v>
      </c>
      <c r="M112" s="25" t="s">
        <v>58</v>
      </c>
      <c r="N112" s="23" t="s">
        <v>55</v>
      </c>
      <c r="O112" s="23" t="s">
        <v>59</v>
      </c>
      <c r="P112" s="23" t="s">
        <v>60</v>
      </c>
      <c r="Q112" s="23">
        <v>3</v>
      </c>
      <c r="R112" s="23" t="s">
        <v>61</v>
      </c>
      <c r="S112" s="23">
        <v>80</v>
      </c>
      <c r="T112" s="23"/>
      <c r="U112" s="23" t="s">
        <v>58</v>
      </c>
      <c r="V112" s="23" t="s">
        <v>62</v>
      </c>
      <c r="W112" s="23"/>
      <c r="X112" s="23" t="e">
        <f>IF(COUNTIF(#REF!,_xlfn.TEXTJOIN(".",,C112,F112,H112)),"是","否")</f>
        <v>#REF!</v>
      </c>
      <c r="Y112" s="23" t="e">
        <f t="shared" si="49"/>
        <v>#REF!</v>
      </c>
      <c r="Z112" s="23" t="s">
        <v>55</v>
      </c>
      <c r="AA112" s="27" t="s">
        <v>55</v>
      </c>
      <c r="AB112" s="27" t="s">
        <v>60</v>
      </c>
      <c r="AC112" s="27">
        <v>3</v>
      </c>
      <c r="AD112" s="27" t="s">
        <v>61</v>
      </c>
      <c r="AE112" s="27">
        <v>80</v>
      </c>
      <c r="AF112" s="27"/>
      <c r="AG112" s="27" t="s">
        <v>488</v>
      </c>
      <c r="AH112" s="27" t="s">
        <v>58</v>
      </c>
      <c r="AI112" s="27" t="s">
        <v>151</v>
      </c>
      <c r="AJ112" s="1" t="str">
        <f t="shared" si="50"/>
        <v>SYS.WAF.instance_id.disk_util</v>
      </c>
      <c r="AK112" s="1" t="s">
        <v>152</v>
      </c>
      <c r="AL112" s="33" t="s">
        <v>55</v>
      </c>
    </row>
    <row r="113" spans="1:38" hidden="1" x14ac:dyDescent="0.25">
      <c r="A113" s="24">
        <f t="shared" ref="A113:A122" si="51">ROW()-1</f>
        <v>112</v>
      </c>
      <c r="B113" s="25" t="s">
        <v>483</v>
      </c>
      <c r="C113" s="25" t="s">
        <v>484</v>
      </c>
      <c r="D113" s="25" t="s">
        <v>485</v>
      </c>
      <c r="E113" s="25" t="s">
        <v>486</v>
      </c>
      <c r="F113" s="25" t="s">
        <v>71</v>
      </c>
      <c r="G113" s="25" t="s">
        <v>264</v>
      </c>
      <c r="H113" s="25" t="s">
        <v>491</v>
      </c>
      <c r="I113" s="25" t="s">
        <v>492</v>
      </c>
      <c r="J113" s="25" t="s">
        <v>38</v>
      </c>
      <c r="K113" s="25">
        <v>60</v>
      </c>
      <c r="L113" s="25" t="s">
        <v>45</v>
      </c>
      <c r="M113" s="25" t="s">
        <v>172</v>
      </c>
      <c r="N113" s="23" t="s">
        <v>55</v>
      </c>
      <c r="O113" s="23" t="s">
        <v>59</v>
      </c>
      <c r="P113" s="23" t="s">
        <v>60</v>
      </c>
      <c r="Q113" s="23">
        <v>3</v>
      </c>
      <c r="R113" s="23" t="s">
        <v>61</v>
      </c>
      <c r="S113" s="23">
        <v>40000</v>
      </c>
      <c r="T113" s="23"/>
      <c r="U113" s="23" t="s">
        <v>172</v>
      </c>
      <c r="V113" s="23" t="s">
        <v>62</v>
      </c>
      <c r="W113" s="23"/>
      <c r="X113" s="23" t="e">
        <f>IF(COUNTIF(#REF!,_xlfn.TEXTJOIN(".",,C113,F113,H113)),"是","否")</f>
        <v>#REF!</v>
      </c>
      <c r="Y113" s="23" t="e">
        <f t="shared" ref="Y113:Y122" si="52">IF(AND(O113="底线指标",X113="是"),"是","否")</f>
        <v>#REF!</v>
      </c>
      <c r="Z113" s="23" t="s">
        <v>55</v>
      </c>
      <c r="AA113" s="27" t="s">
        <v>55</v>
      </c>
      <c r="AB113" s="27" t="s">
        <v>60</v>
      </c>
      <c r="AC113" s="27">
        <v>3</v>
      </c>
      <c r="AD113" s="27" t="s">
        <v>61</v>
      </c>
      <c r="AE113" s="27">
        <v>40000</v>
      </c>
      <c r="AF113" s="27"/>
      <c r="AG113" s="27"/>
      <c r="AH113" s="27"/>
      <c r="AI113" s="27" t="s">
        <v>420</v>
      </c>
      <c r="AJ113" s="1" t="str">
        <f t="shared" ref="AJ113:AJ122" si="53">_xlfn.TEXTJOIN(".",TRUE,C113,F113,H113)</f>
        <v>SYS.WAF.instance_id.active_connections</v>
      </c>
      <c r="AK113" s="1" t="s">
        <v>152</v>
      </c>
      <c r="AL113" s="33" t="s">
        <v>55</v>
      </c>
    </row>
    <row r="114" spans="1:38" hidden="1" x14ac:dyDescent="0.25">
      <c r="A114" s="24">
        <f t="shared" si="51"/>
        <v>113</v>
      </c>
      <c r="B114" s="25" t="s">
        <v>483</v>
      </c>
      <c r="C114" s="25" t="s">
        <v>484</v>
      </c>
      <c r="D114" s="25" t="s">
        <v>485</v>
      </c>
      <c r="E114" s="25" t="s">
        <v>493</v>
      </c>
      <c r="F114" s="25" t="s">
        <v>494</v>
      </c>
      <c r="G114" s="25" t="s">
        <v>496</v>
      </c>
      <c r="H114" s="25" t="s">
        <v>497</v>
      </c>
      <c r="I114" s="25" t="s">
        <v>498</v>
      </c>
      <c r="J114" s="25" t="s">
        <v>38</v>
      </c>
      <c r="K114" s="25">
        <v>60</v>
      </c>
      <c r="L114" s="25" t="s">
        <v>39</v>
      </c>
      <c r="M114" s="25" t="s">
        <v>46</v>
      </c>
      <c r="N114" s="23" t="s">
        <v>55</v>
      </c>
      <c r="O114" s="23" t="s">
        <v>59</v>
      </c>
      <c r="P114" s="23" t="s">
        <v>60</v>
      </c>
      <c r="Q114" s="23">
        <v>1</v>
      </c>
      <c r="R114" s="23" t="s">
        <v>334</v>
      </c>
      <c r="S114" s="23">
        <v>10</v>
      </c>
      <c r="T114" s="23">
        <v>15</v>
      </c>
      <c r="U114" s="23" t="s">
        <v>58</v>
      </c>
      <c r="V114" s="23" t="s">
        <v>62</v>
      </c>
      <c r="W114" s="23"/>
      <c r="X114" s="23" t="e">
        <f>IF(COUNTIF(#REF!,_xlfn.TEXTJOIN(".",,C114,F114,H114)),"是","否")</f>
        <v>#REF!</v>
      </c>
      <c r="Y114" s="23" t="e">
        <f t="shared" si="52"/>
        <v>#REF!</v>
      </c>
      <c r="Z114" s="23" t="s">
        <v>55</v>
      </c>
      <c r="AA114" s="27" t="s">
        <v>55</v>
      </c>
      <c r="AB114" s="27" t="s">
        <v>60</v>
      </c>
      <c r="AC114" s="27">
        <v>1</v>
      </c>
      <c r="AD114" s="27" t="s">
        <v>334</v>
      </c>
      <c r="AE114" s="27">
        <v>10</v>
      </c>
      <c r="AF114" s="27"/>
      <c r="AG114" s="27" t="s">
        <v>495</v>
      </c>
      <c r="AH114" s="27"/>
      <c r="AI114" s="27" t="s">
        <v>420</v>
      </c>
      <c r="AJ114" s="1" t="str">
        <f t="shared" si="53"/>
        <v>SYS.WAF.waf_instance_id.waf_http_5xx</v>
      </c>
      <c r="AK114" s="1" t="s">
        <v>302</v>
      </c>
      <c r="AL114" s="33" t="s">
        <v>55</v>
      </c>
    </row>
    <row r="115" spans="1:38" hidden="1" x14ac:dyDescent="0.25">
      <c r="A115" s="24">
        <f t="shared" si="51"/>
        <v>114</v>
      </c>
      <c r="B115" s="25" t="s">
        <v>483</v>
      </c>
      <c r="C115" s="25" t="s">
        <v>484</v>
      </c>
      <c r="D115" s="25" t="s">
        <v>485</v>
      </c>
      <c r="E115" s="25" t="s">
        <v>493</v>
      </c>
      <c r="F115" s="25" t="s">
        <v>494</v>
      </c>
      <c r="G115" s="25" t="s">
        <v>500</v>
      </c>
      <c r="H115" s="25" t="s">
        <v>501</v>
      </c>
      <c r="I115" s="25" t="s">
        <v>502</v>
      </c>
      <c r="J115" s="25" t="s">
        <v>38</v>
      </c>
      <c r="K115" s="25">
        <v>60</v>
      </c>
      <c r="L115" s="25" t="s">
        <v>39</v>
      </c>
      <c r="M115" s="25" t="s">
        <v>46</v>
      </c>
      <c r="N115" s="23" t="s">
        <v>55</v>
      </c>
      <c r="O115" s="23" t="s">
        <v>59</v>
      </c>
      <c r="P115" s="23" t="s">
        <v>60</v>
      </c>
      <c r="Q115" s="23">
        <v>3</v>
      </c>
      <c r="R115" s="23" t="s">
        <v>61</v>
      </c>
      <c r="S115" s="23">
        <v>15</v>
      </c>
      <c r="T115" s="23">
        <v>20</v>
      </c>
      <c r="U115" s="23" t="s">
        <v>46</v>
      </c>
      <c r="V115" s="23" t="s">
        <v>62</v>
      </c>
      <c r="W115" s="23"/>
      <c r="X115" s="23" t="e">
        <f>IF(COUNTIF(#REF!,_xlfn.TEXTJOIN(".",,C115,F115,H115)),"是","否")</f>
        <v>#REF!</v>
      </c>
      <c r="Y115" s="23" t="e">
        <f t="shared" si="52"/>
        <v>#REF!</v>
      </c>
      <c r="Z115" s="23" t="s">
        <v>55</v>
      </c>
      <c r="AA115" s="23"/>
      <c r="AB115" s="23"/>
      <c r="AC115" s="23"/>
      <c r="AD115" s="23"/>
      <c r="AE115" s="23"/>
      <c r="AF115" s="23"/>
      <c r="AG115" s="23"/>
      <c r="AH115" s="23"/>
      <c r="AI115" s="23"/>
      <c r="AJ115" s="1" t="str">
        <f t="shared" si="53"/>
        <v>SYS.WAF.waf_instance_id.upstream_code_5xx</v>
      </c>
      <c r="AK115" s="1" t="s">
        <v>302</v>
      </c>
      <c r="AL115" s="1" t="s">
        <v>389</v>
      </c>
    </row>
    <row r="116" spans="1:38" hidden="1" x14ac:dyDescent="0.25">
      <c r="A116" s="24">
        <f t="shared" si="51"/>
        <v>115</v>
      </c>
      <c r="B116" s="25" t="s">
        <v>503</v>
      </c>
      <c r="C116" s="25" t="s">
        <v>504</v>
      </c>
      <c r="D116" s="25" t="s">
        <v>505</v>
      </c>
      <c r="E116" s="25" t="s">
        <v>162</v>
      </c>
      <c r="F116" s="25" t="s">
        <v>71</v>
      </c>
      <c r="G116" s="25" t="s">
        <v>72</v>
      </c>
      <c r="H116" s="25" t="s">
        <v>85</v>
      </c>
      <c r="I116" s="22" t="s">
        <v>506</v>
      </c>
      <c r="J116" s="22" t="s">
        <v>38</v>
      </c>
      <c r="K116" s="22">
        <v>60</v>
      </c>
      <c r="L116" s="22"/>
      <c r="M116" s="22" t="s">
        <v>58</v>
      </c>
      <c r="N116" s="23" t="s">
        <v>55</v>
      </c>
      <c r="O116" s="23" t="s">
        <v>59</v>
      </c>
      <c r="P116" s="23" t="s">
        <v>60</v>
      </c>
      <c r="Q116" s="23">
        <v>10</v>
      </c>
      <c r="R116" s="23" t="s">
        <v>240</v>
      </c>
      <c r="S116" s="23"/>
      <c r="T116" s="23">
        <v>90</v>
      </c>
      <c r="U116" s="22" t="s">
        <v>58</v>
      </c>
      <c r="V116" s="23" t="s">
        <v>459</v>
      </c>
      <c r="W116" s="23"/>
      <c r="X116" s="23" t="e">
        <f>IF(COUNTIF(#REF!,_xlfn.TEXTJOIN(".",,C116,F116,H116)),"是","否")</f>
        <v>#REF!</v>
      </c>
      <c r="Y116" s="23" t="e">
        <f t="shared" si="52"/>
        <v>#REF!</v>
      </c>
      <c r="Z116" s="23"/>
      <c r="AA116" s="23" t="s">
        <v>55</v>
      </c>
      <c r="AB116" s="23" t="s">
        <v>60</v>
      </c>
      <c r="AC116" s="23">
        <v>3</v>
      </c>
      <c r="AD116" s="23" t="s">
        <v>61</v>
      </c>
      <c r="AE116" s="23"/>
      <c r="AF116" s="23">
        <v>95</v>
      </c>
      <c r="AG116" s="23"/>
      <c r="AH116" s="23" t="s">
        <v>58</v>
      </c>
      <c r="AI116" s="23" t="s">
        <v>151</v>
      </c>
      <c r="AJ116" s="1" t="str">
        <f t="shared" si="53"/>
        <v>SYS.CDM.instance_id.cpu_usage</v>
      </c>
      <c r="AK116" s="1"/>
      <c r="AL116" s="1"/>
    </row>
    <row r="117" spans="1:38" hidden="1" x14ac:dyDescent="0.25">
      <c r="A117" s="24">
        <f t="shared" si="51"/>
        <v>116</v>
      </c>
      <c r="B117" s="25" t="s">
        <v>503</v>
      </c>
      <c r="C117" s="25" t="s">
        <v>504</v>
      </c>
      <c r="D117" s="25" t="s">
        <v>505</v>
      </c>
      <c r="E117" s="25" t="s">
        <v>162</v>
      </c>
      <c r="F117" s="25" t="s">
        <v>71</v>
      </c>
      <c r="G117" s="25" t="s">
        <v>76</v>
      </c>
      <c r="H117" s="25" t="s">
        <v>507</v>
      </c>
      <c r="I117" s="22" t="s">
        <v>508</v>
      </c>
      <c r="J117" s="22" t="s">
        <v>38</v>
      </c>
      <c r="K117" s="22">
        <v>60</v>
      </c>
      <c r="L117" s="22"/>
      <c r="M117" s="22" t="s">
        <v>58</v>
      </c>
      <c r="N117" s="23" t="s">
        <v>55</v>
      </c>
      <c r="O117" s="23" t="s">
        <v>59</v>
      </c>
      <c r="P117" s="23" t="s">
        <v>60</v>
      </c>
      <c r="Q117" s="23">
        <v>3</v>
      </c>
      <c r="R117" s="23" t="s">
        <v>240</v>
      </c>
      <c r="S117" s="23"/>
      <c r="T117" s="23">
        <v>85</v>
      </c>
      <c r="U117" s="22" t="s">
        <v>58</v>
      </c>
      <c r="V117" s="23" t="s">
        <v>459</v>
      </c>
      <c r="W117" s="23"/>
      <c r="X117" s="23" t="e">
        <f>IF(COUNTIF(#REF!,_xlfn.TEXTJOIN(".",,C117,F117,H117)),"是","否")</f>
        <v>#REF!</v>
      </c>
      <c r="Y117" s="23" t="e">
        <f t="shared" si="52"/>
        <v>#REF!</v>
      </c>
      <c r="Z117" s="23"/>
      <c r="AA117" s="23" t="s">
        <v>55</v>
      </c>
      <c r="AB117" s="23" t="s">
        <v>60</v>
      </c>
      <c r="AC117" s="23">
        <v>3</v>
      </c>
      <c r="AD117" s="23" t="s">
        <v>61</v>
      </c>
      <c r="AE117" s="23">
        <v>90</v>
      </c>
      <c r="AF117" s="23"/>
      <c r="AG117" s="23"/>
      <c r="AH117" s="23" t="s">
        <v>58</v>
      </c>
      <c r="AI117" s="23" t="s">
        <v>151</v>
      </c>
      <c r="AJ117" s="1" t="str">
        <f t="shared" si="53"/>
        <v>SYS.CDM.instance_id.mem_usage</v>
      </c>
      <c r="AK117" s="1"/>
      <c r="AL117" s="1"/>
    </row>
    <row r="118" spans="1:38" hidden="1" x14ac:dyDescent="0.25">
      <c r="A118" s="24">
        <f t="shared" si="51"/>
        <v>117</v>
      </c>
      <c r="B118" s="25" t="s">
        <v>503</v>
      </c>
      <c r="C118" s="25" t="s">
        <v>504</v>
      </c>
      <c r="D118" s="25" t="s">
        <v>505</v>
      </c>
      <c r="E118" s="25" t="s">
        <v>162</v>
      </c>
      <c r="F118" s="25" t="s">
        <v>71</v>
      </c>
      <c r="G118" s="25" t="s">
        <v>344</v>
      </c>
      <c r="H118" s="25" t="s">
        <v>509</v>
      </c>
      <c r="I118" s="22" t="s">
        <v>490</v>
      </c>
      <c r="J118" s="22" t="s">
        <v>38</v>
      </c>
      <c r="K118" s="22">
        <v>60</v>
      </c>
      <c r="L118" s="22"/>
      <c r="M118" s="22" t="s">
        <v>58</v>
      </c>
      <c r="N118" s="23" t="s">
        <v>55</v>
      </c>
      <c r="O118" s="23" t="s">
        <v>59</v>
      </c>
      <c r="P118" s="23" t="s">
        <v>60</v>
      </c>
      <c r="Q118" s="23">
        <v>1</v>
      </c>
      <c r="R118" s="23" t="s">
        <v>240</v>
      </c>
      <c r="S118" s="23"/>
      <c r="T118" s="23">
        <v>90</v>
      </c>
      <c r="U118" s="22" t="s">
        <v>58</v>
      </c>
      <c r="V118" s="23" t="s">
        <v>459</v>
      </c>
      <c r="W118" s="23"/>
      <c r="X118" s="23" t="e">
        <f>IF(COUNTIF(#REF!,_xlfn.TEXTJOIN(".",,C118,F118,H118)),"是","否")</f>
        <v>#REF!</v>
      </c>
      <c r="Y118" s="23" t="e">
        <f t="shared" si="52"/>
        <v>#REF!</v>
      </c>
      <c r="Z118" s="23"/>
      <c r="AA118" s="23"/>
      <c r="AB118" s="23"/>
      <c r="AC118" s="23"/>
      <c r="AD118" s="23"/>
      <c r="AE118" s="23"/>
      <c r="AF118" s="23"/>
      <c r="AG118" s="23"/>
      <c r="AH118" s="23"/>
      <c r="AI118" s="23"/>
      <c r="AJ118" s="1" t="str">
        <f t="shared" si="53"/>
        <v>SYS.CDM.instance_id.disk_usage</v>
      </c>
      <c r="AK118" s="1"/>
      <c r="AL118" s="1"/>
    </row>
    <row r="119" spans="1:38" hidden="1" x14ac:dyDescent="0.25">
      <c r="A119" s="24">
        <f t="shared" si="51"/>
        <v>118</v>
      </c>
      <c r="B119" s="25" t="s">
        <v>503</v>
      </c>
      <c r="C119" s="25" t="s">
        <v>504</v>
      </c>
      <c r="D119" s="25" t="s">
        <v>505</v>
      </c>
      <c r="E119" s="25" t="s">
        <v>162</v>
      </c>
      <c r="F119" s="25" t="s">
        <v>71</v>
      </c>
      <c r="G119" s="25" t="s">
        <v>173</v>
      </c>
      <c r="H119" s="25" t="s">
        <v>510</v>
      </c>
      <c r="I119" s="22" t="s">
        <v>511</v>
      </c>
      <c r="J119" s="22" t="s">
        <v>38</v>
      </c>
      <c r="K119" s="22">
        <v>60</v>
      </c>
      <c r="L119" s="22"/>
      <c r="M119" s="22" t="s">
        <v>58</v>
      </c>
      <c r="N119" s="23" t="s">
        <v>55</v>
      </c>
      <c r="O119" s="23" t="s">
        <v>59</v>
      </c>
      <c r="P119" s="23" t="s">
        <v>60</v>
      </c>
      <c r="Q119" s="23">
        <v>3</v>
      </c>
      <c r="R119" s="23" t="s">
        <v>240</v>
      </c>
      <c r="S119" s="23">
        <v>90</v>
      </c>
      <c r="T119" s="23"/>
      <c r="U119" s="22" t="s">
        <v>58</v>
      </c>
      <c r="V119" s="23" t="s">
        <v>62</v>
      </c>
      <c r="W119" s="23"/>
      <c r="X119" s="23" t="e">
        <f>IF(COUNTIF(#REF!,_xlfn.TEXTJOIN(".",,C119,F119,H119)),"是","否")</f>
        <v>#REF!</v>
      </c>
      <c r="Y119" s="23" t="e">
        <f t="shared" si="52"/>
        <v>#REF!</v>
      </c>
      <c r="Z119" s="23"/>
      <c r="AA119" s="23"/>
      <c r="AB119" s="23"/>
      <c r="AC119" s="23"/>
      <c r="AD119" s="23"/>
      <c r="AE119" s="23"/>
      <c r="AF119" s="23"/>
      <c r="AG119" s="23"/>
      <c r="AH119" s="23"/>
      <c r="AI119" s="23"/>
      <c r="AJ119" s="1" t="str">
        <f t="shared" si="53"/>
        <v>SYS.CDM.instance_id.tomcat_heap_usage</v>
      </c>
      <c r="AK119" s="1"/>
      <c r="AL119" s="1"/>
    </row>
    <row r="120" spans="1:38" hidden="1" x14ac:dyDescent="0.25">
      <c r="A120" s="24">
        <f t="shared" si="51"/>
        <v>119</v>
      </c>
      <c r="B120" s="25" t="s">
        <v>503</v>
      </c>
      <c r="C120" s="25" t="s">
        <v>504</v>
      </c>
      <c r="D120" s="25" t="s">
        <v>505</v>
      </c>
      <c r="E120" s="25" t="s">
        <v>162</v>
      </c>
      <c r="F120" s="25" t="s">
        <v>71</v>
      </c>
      <c r="G120" s="25" t="s">
        <v>512</v>
      </c>
      <c r="H120" s="25" t="s">
        <v>513</v>
      </c>
      <c r="I120" s="22" t="s">
        <v>514</v>
      </c>
      <c r="J120" s="22" t="s">
        <v>38</v>
      </c>
      <c r="K120" s="22">
        <v>60</v>
      </c>
      <c r="L120" s="22"/>
      <c r="M120" s="22" t="s">
        <v>83</v>
      </c>
      <c r="N120" s="23" t="s">
        <v>55</v>
      </c>
      <c r="O120" s="23" t="s">
        <v>59</v>
      </c>
      <c r="P120" s="23" t="s">
        <v>60</v>
      </c>
      <c r="Q120" s="23">
        <v>3</v>
      </c>
      <c r="R120" s="23" t="s">
        <v>240</v>
      </c>
      <c r="S120" s="23"/>
      <c r="T120" s="23">
        <v>90</v>
      </c>
      <c r="U120" s="22" t="s">
        <v>172</v>
      </c>
      <c r="V120" s="23" t="s">
        <v>459</v>
      </c>
      <c r="W120" s="23"/>
      <c r="X120" s="23" t="e">
        <f>IF(COUNTIF(#REF!,_xlfn.TEXTJOIN(".",,C120,F120,H120)),"是","否")</f>
        <v>#REF!</v>
      </c>
      <c r="Y120" s="23" t="e">
        <f t="shared" si="52"/>
        <v>#REF!</v>
      </c>
      <c r="Z120" s="23"/>
      <c r="AA120" s="23" t="s">
        <v>55</v>
      </c>
      <c r="AB120" s="23" t="s">
        <v>60</v>
      </c>
      <c r="AC120" s="23">
        <v>3</v>
      </c>
      <c r="AD120" s="23" t="s">
        <v>61</v>
      </c>
      <c r="AE120" s="23" t="s">
        <v>515</v>
      </c>
      <c r="AF120" s="23"/>
      <c r="AG120" s="23" t="s">
        <v>516</v>
      </c>
      <c r="AH120" s="23"/>
      <c r="AI120" s="23" t="s">
        <v>151</v>
      </c>
      <c r="AJ120" s="1" t="str">
        <f t="shared" si="53"/>
        <v>SYS.CDM.instance_id.pg_connect</v>
      </c>
      <c r="AK120" s="1"/>
      <c r="AL120" s="1"/>
    </row>
    <row r="121" spans="1:38" hidden="1" x14ac:dyDescent="0.25">
      <c r="A121" s="24">
        <f t="shared" si="51"/>
        <v>120</v>
      </c>
      <c r="B121" s="25" t="s">
        <v>503</v>
      </c>
      <c r="C121" s="25" t="s">
        <v>504</v>
      </c>
      <c r="D121" s="25" t="s">
        <v>505</v>
      </c>
      <c r="E121" s="25" t="s">
        <v>162</v>
      </c>
      <c r="F121" s="25" t="s">
        <v>71</v>
      </c>
      <c r="G121" s="25" t="s">
        <v>517</v>
      </c>
      <c r="H121" s="25" t="s">
        <v>518</v>
      </c>
      <c r="I121" s="22" t="s">
        <v>519</v>
      </c>
      <c r="J121" s="22" t="s">
        <v>38</v>
      </c>
      <c r="K121" s="22">
        <v>60</v>
      </c>
      <c r="L121" s="22"/>
      <c r="M121" s="22" t="s">
        <v>520</v>
      </c>
      <c r="N121" s="23" t="s">
        <v>55</v>
      </c>
      <c r="O121" s="23" t="s">
        <v>59</v>
      </c>
      <c r="P121" s="23" t="s">
        <v>60</v>
      </c>
      <c r="Q121" s="23">
        <v>1</v>
      </c>
      <c r="R121" s="23" t="s">
        <v>61</v>
      </c>
      <c r="S121" s="23"/>
      <c r="T121" s="23">
        <v>310000</v>
      </c>
      <c r="U121" s="22" t="s">
        <v>172</v>
      </c>
      <c r="V121" s="23" t="s">
        <v>459</v>
      </c>
      <c r="W121" s="23"/>
      <c r="X121" s="23" t="e">
        <f>IF(COUNTIF(#REF!,_xlfn.TEXTJOIN(".",,C121,F121,H121)),"是","否")</f>
        <v>#REF!</v>
      </c>
      <c r="Y121" s="23" t="e">
        <f t="shared" si="52"/>
        <v>#REF!</v>
      </c>
      <c r="Z121" s="23"/>
      <c r="AA121" s="23"/>
      <c r="AB121" s="23"/>
      <c r="AC121" s="23"/>
      <c r="AD121" s="23"/>
      <c r="AE121" s="23"/>
      <c r="AF121" s="23"/>
      <c r="AG121" s="23"/>
      <c r="AH121" s="23"/>
      <c r="AI121" s="23"/>
      <c r="AJ121" s="1" t="str">
        <f t="shared" si="53"/>
        <v>SYS.CDM.instance_id.pg_submission_row</v>
      </c>
      <c r="AK121" s="1"/>
      <c r="AL121" s="1"/>
    </row>
    <row r="122" spans="1:38" hidden="1" x14ac:dyDescent="0.25">
      <c r="A122" s="24">
        <f t="shared" si="51"/>
        <v>121</v>
      </c>
      <c r="B122" s="25" t="s">
        <v>503</v>
      </c>
      <c r="C122" s="25" t="s">
        <v>504</v>
      </c>
      <c r="D122" s="25" t="s">
        <v>505</v>
      </c>
      <c r="E122" s="25" t="s">
        <v>162</v>
      </c>
      <c r="F122" s="25" t="s">
        <v>71</v>
      </c>
      <c r="G122" s="25" t="s">
        <v>521</v>
      </c>
      <c r="H122" s="25" t="s">
        <v>522</v>
      </c>
      <c r="I122" s="25" t="s">
        <v>523</v>
      </c>
      <c r="J122" s="25" t="s">
        <v>38</v>
      </c>
      <c r="K122" s="25">
        <v>60</v>
      </c>
      <c r="L122" s="25"/>
      <c r="M122" s="25" t="s">
        <v>58</v>
      </c>
      <c r="N122" s="23" t="s">
        <v>55</v>
      </c>
      <c r="O122" s="23" t="s">
        <v>59</v>
      </c>
      <c r="P122" s="26" t="s">
        <v>60</v>
      </c>
      <c r="Q122" s="26">
        <v>3</v>
      </c>
      <c r="R122" s="26" t="s">
        <v>61</v>
      </c>
      <c r="S122" s="26">
        <v>0</v>
      </c>
      <c r="T122" s="26">
        <v>5</v>
      </c>
      <c r="U122" s="23" t="s">
        <v>58</v>
      </c>
      <c r="V122" s="23" t="s">
        <v>151</v>
      </c>
      <c r="W122" s="23"/>
      <c r="X122" s="23" t="e">
        <f>IF(COUNTIF(#REF!,_xlfn.TEXTJOIN(".",,C122,F122,H122)),"是","否")</f>
        <v>#REF!</v>
      </c>
      <c r="Y122" s="23" t="e">
        <f t="shared" si="52"/>
        <v>#REF!</v>
      </c>
      <c r="Z122" s="23"/>
      <c r="AA122" s="23"/>
      <c r="AB122" s="23"/>
      <c r="AC122" s="23"/>
      <c r="AD122" s="23"/>
      <c r="AE122" s="23"/>
      <c r="AF122" s="23"/>
      <c r="AG122" s="23"/>
      <c r="AH122" s="23"/>
      <c r="AI122" s="23"/>
      <c r="AJ122" s="1" t="str">
        <f t="shared" si="53"/>
        <v>SYS.CDM.instance_id.pg_failed_job_rate</v>
      </c>
      <c r="AK122" s="1"/>
      <c r="AL122" s="1"/>
    </row>
    <row r="123" spans="1:38" hidden="1" x14ac:dyDescent="0.25">
      <c r="A123" s="24">
        <f t="shared" ref="A123:A131" si="54">ROW()-1</f>
        <v>122</v>
      </c>
      <c r="B123" s="25" t="s">
        <v>524</v>
      </c>
      <c r="C123" s="25" t="s">
        <v>525</v>
      </c>
      <c r="D123" s="25" t="s">
        <v>526</v>
      </c>
      <c r="E123" s="25" t="s">
        <v>527</v>
      </c>
      <c r="F123" s="25" t="s">
        <v>528</v>
      </c>
      <c r="G123" s="25" t="s">
        <v>534</v>
      </c>
      <c r="H123" s="25" t="s">
        <v>535</v>
      </c>
      <c r="I123" s="25" t="s">
        <v>536</v>
      </c>
      <c r="J123" s="25" t="s">
        <v>38</v>
      </c>
      <c r="K123" s="25">
        <v>300</v>
      </c>
      <c r="L123" s="25" t="s">
        <v>39</v>
      </c>
      <c r="M123" s="25" t="s">
        <v>58</v>
      </c>
      <c r="N123" s="23" t="s">
        <v>55</v>
      </c>
      <c r="O123" s="23" t="s">
        <v>59</v>
      </c>
      <c r="P123" s="23" t="s">
        <v>60</v>
      </c>
      <c r="Q123" s="23">
        <v>3</v>
      </c>
      <c r="R123" s="23" t="s">
        <v>61</v>
      </c>
      <c r="S123" s="23"/>
      <c r="T123" s="23">
        <v>80</v>
      </c>
      <c r="U123" s="23" t="s">
        <v>58</v>
      </c>
      <c r="V123" s="23" t="s">
        <v>62</v>
      </c>
      <c r="W123" s="23"/>
      <c r="X123" s="23" t="e">
        <f>IF(COUNTIF(#REF!,_xlfn.TEXTJOIN(".",,C123,F123,H123)),"是","否")</f>
        <v>#REF!</v>
      </c>
      <c r="Y123" s="23" t="e">
        <f t="shared" ref="Y123:Y131" si="55">IF(AND(O123="底线指标",X123="是"),"是","否")</f>
        <v>#REF!</v>
      </c>
      <c r="Z123" s="23" t="s">
        <v>55</v>
      </c>
      <c r="AA123" s="27" t="s">
        <v>55</v>
      </c>
      <c r="AB123" s="27" t="s">
        <v>60</v>
      </c>
      <c r="AC123" s="27">
        <v>3</v>
      </c>
      <c r="AD123" s="27" t="s">
        <v>61</v>
      </c>
      <c r="AE123" s="27"/>
      <c r="AF123" s="27">
        <v>80</v>
      </c>
      <c r="AG123" s="27"/>
      <c r="AH123" s="27" t="s">
        <v>58</v>
      </c>
      <c r="AI123" s="27" t="s">
        <v>62</v>
      </c>
      <c r="AJ123" s="1" t="str">
        <f t="shared" ref="AJ123:AJ131" si="56">_xlfn.TEXTJOIN(".",TRUE,C123,F123,H123)</f>
        <v>SYS.CC.cloud_connect_id,bwp_id,region_bandwidth_id.network_bandwidth_usage</v>
      </c>
      <c r="AK123" s="1" t="s">
        <v>152</v>
      </c>
      <c r="AL123" s="1" t="s">
        <v>55</v>
      </c>
    </row>
    <row r="124" spans="1:38" hidden="1" x14ac:dyDescent="0.25">
      <c r="A124" s="24">
        <f t="shared" si="54"/>
        <v>123</v>
      </c>
      <c r="B124" s="25" t="s">
        <v>538</v>
      </c>
      <c r="C124" s="25" t="s">
        <v>539</v>
      </c>
      <c r="D124" s="25" t="s">
        <v>540</v>
      </c>
      <c r="E124" s="25" t="s">
        <v>541</v>
      </c>
      <c r="F124" s="25" t="s">
        <v>542</v>
      </c>
      <c r="G124" s="25" t="s">
        <v>543</v>
      </c>
      <c r="H124" s="25" t="s">
        <v>544</v>
      </c>
      <c r="I124" s="25" t="s">
        <v>545</v>
      </c>
      <c r="J124" s="25" t="s">
        <v>38</v>
      </c>
      <c r="K124" s="25">
        <v>60</v>
      </c>
      <c r="L124" s="25"/>
      <c r="M124" s="25" t="s">
        <v>83</v>
      </c>
      <c r="N124" s="23" t="s">
        <v>55</v>
      </c>
      <c r="O124" s="23" t="s">
        <v>59</v>
      </c>
      <c r="P124" s="23" t="s">
        <v>60</v>
      </c>
      <c r="Q124" s="23">
        <v>2</v>
      </c>
      <c r="R124" s="23" t="s">
        <v>61</v>
      </c>
      <c r="S124" s="23">
        <v>3600</v>
      </c>
      <c r="T124" s="23"/>
      <c r="U124" s="23" t="s">
        <v>83</v>
      </c>
      <c r="V124" s="23" t="s">
        <v>62</v>
      </c>
      <c r="W124" s="23"/>
      <c r="X124" s="23" t="e">
        <f>IF(COUNTIF(#REF!,_xlfn.TEXTJOIN(".",,C124,F124,H124)),"是","否")</f>
        <v>#REF!</v>
      </c>
      <c r="Y124" s="23" t="e">
        <f t="shared" si="55"/>
        <v>#REF!</v>
      </c>
      <c r="Z124" s="23" t="s">
        <v>55</v>
      </c>
      <c r="AA124" s="27" t="s">
        <v>55</v>
      </c>
      <c r="AB124" s="27" t="s">
        <v>60</v>
      </c>
      <c r="AC124" s="27">
        <v>2</v>
      </c>
      <c r="AD124" s="27" t="s">
        <v>61</v>
      </c>
      <c r="AE124" s="27">
        <v>3600</v>
      </c>
      <c r="AF124" s="27"/>
      <c r="AG124" s="27" t="s">
        <v>546</v>
      </c>
      <c r="AH124" s="27"/>
      <c r="AI124" s="27" t="s">
        <v>62</v>
      </c>
      <c r="AJ124" s="1" t="str">
        <f t="shared" si="56"/>
        <v>SYS.DMS.rabbitmq_instance_id.consumers</v>
      </c>
      <c r="AK124" s="1" t="s">
        <v>152</v>
      </c>
      <c r="AL124" s="1"/>
    </row>
    <row r="125" spans="1:38" hidden="1" x14ac:dyDescent="0.25">
      <c r="A125" s="24">
        <f t="shared" si="54"/>
        <v>124</v>
      </c>
      <c r="B125" s="25" t="s">
        <v>538</v>
      </c>
      <c r="C125" s="25" t="s">
        <v>539</v>
      </c>
      <c r="D125" s="25" t="s">
        <v>540</v>
      </c>
      <c r="E125" s="25" t="s">
        <v>541</v>
      </c>
      <c r="F125" s="25" t="s">
        <v>542</v>
      </c>
      <c r="G125" s="25" t="s">
        <v>547</v>
      </c>
      <c r="H125" s="25" t="s">
        <v>548</v>
      </c>
      <c r="I125" s="25" t="s">
        <v>549</v>
      </c>
      <c r="J125" s="25" t="s">
        <v>38</v>
      </c>
      <c r="K125" s="25">
        <v>60</v>
      </c>
      <c r="L125" s="25"/>
      <c r="M125" s="25" t="s">
        <v>83</v>
      </c>
      <c r="N125" s="23" t="s">
        <v>55</v>
      </c>
      <c r="O125" s="23" t="s">
        <v>59</v>
      </c>
      <c r="P125" s="23" t="s">
        <v>60</v>
      </c>
      <c r="Q125" s="23">
        <v>1</v>
      </c>
      <c r="R125" s="23" t="s">
        <v>61</v>
      </c>
      <c r="S125" s="23">
        <v>10000</v>
      </c>
      <c r="T125" s="23"/>
      <c r="U125" s="23" t="s">
        <v>83</v>
      </c>
      <c r="V125" s="23" t="s">
        <v>62</v>
      </c>
      <c r="W125" s="23"/>
      <c r="X125" s="23" t="e">
        <f>IF(COUNTIF(#REF!,_xlfn.TEXTJOIN(".",,C125,F125,H125)),"是","否")</f>
        <v>#REF!</v>
      </c>
      <c r="Y125" s="23" t="e">
        <f t="shared" si="55"/>
        <v>#REF!</v>
      </c>
      <c r="Z125" s="23" t="s">
        <v>55</v>
      </c>
      <c r="AA125" s="27" t="s">
        <v>55</v>
      </c>
      <c r="AB125" s="27" t="s">
        <v>60</v>
      </c>
      <c r="AC125" s="27">
        <v>1</v>
      </c>
      <c r="AD125" s="27" t="s">
        <v>61</v>
      </c>
      <c r="AE125" s="27">
        <v>10000</v>
      </c>
      <c r="AF125" s="27"/>
      <c r="AG125" s="27" t="s">
        <v>550</v>
      </c>
      <c r="AH125" s="27"/>
      <c r="AI125" s="27" t="s">
        <v>62</v>
      </c>
      <c r="AJ125" s="1" t="str">
        <f t="shared" si="56"/>
        <v>SYS.DMS.rabbitmq_instance_id.messages_ready</v>
      </c>
      <c r="AK125" s="1" t="s">
        <v>302</v>
      </c>
      <c r="AL125" s="1"/>
    </row>
    <row r="126" spans="1:38" hidden="1" x14ac:dyDescent="0.25">
      <c r="A126" s="24">
        <f t="shared" si="54"/>
        <v>125</v>
      </c>
      <c r="B126" s="25" t="s">
        <v>538</v>
      </c>
      <c r="C126" s="25" t="s">
        <v>539</v>
      </c>
      <c r="D126" s="25" t="s">
        <v>540</v>
      </c>
      <c r="E126" s="25" t="s">
        <v>541</v>
      </c>
      <c r="F126" s="25" t="s">
        <v>542</v>
      </c>
      <c r="G126" s="25" t="s">
        <v>551</v>
      </c>
      <c r="H126" s="25" t="s">
        <v>552</v>
      </c>
      <c r="I126" s="25" t="s">
        <v>553</v>
      </c>
      <c r="J126" s="25" t="s">
        <v>38</v>
      </c>
      <c r="K126" s="25">
        <v>60</v>
      </c>
      <c r="L126" s="25"/>
      <c r="M126" s="25" t="s">
        <v>83</v>
      </c>
      <c r="N126" s="23" t="s">
        <v>55</v>
      </c>
      <c r="O126" s="23" t="s">
        <v>59</v>
      </c>
      <c r="P126" s="23" t="s">
        <v>60</v>
      </c>
      <c r="Q126" s="23">
        <v>1</v>
      </c>
      <c r="R126" s="23" t="s">
        <v>61</v>
      </c>
      <c r="S126" s="23">
        <v>10000</v>
      </c>
      <c r="T126" s="23"/>
      <c r="U126" s="23" t="s">
        <v>83</v>
      </c>
      <c r="V126" s="23" t="s">
        <v>62</v>
      </c>
      <c r="W126" s="23"/>
      <c r="X126" s="23" t="e">
        <f>IF(COUNTIF(#REF!,_xlfn.TEXTJOIN(".",,C126,F126,H126)),"是","否")</f>
        <v>#REF!</v>
      </c>
      <c r="Y126" s="23" t="e">
        <f t="shared" si="55"/>
        <v>#REF!</v>
      </c>
      <c r="Z126" s="23" t="s">
        <v>55</v>
      </c>
      <c r="AA126" s="27" t="s">
        <v>55</v>
      </c>
      <c r="AB126" s="27" t="s">
        <v>60</v>
      </c>
      <c r="AC126" s="27">
        <v>1</v>
      </c>
      <c r="AD126" s="27" t="s">
        <v>61</v>
      </c>
      <c r="AE126" s="27">
        <v>10000</v>
      </c>
      <c r="AF126" s="27"/>
      <c r="AG126" s="27" t="s">
        <v>550</v>
      </c>
      <c r="AH126" s="27"/>
      <c r="AI126" s="27" t="s">
        <v>62</v>
      </c>
      <c r="AJ126" s="1" t="str">
        <f t="shared" si="56"/>
        <v>SYS.DMS.rabbitmq_instance_id.messages_unacknowledged</v>
      </c>
      <c r="AK126" s="1" t="s">
        <v>302</v>
      </c>
      <c r="AL126" s="1"/>
    </row>
    <row r="127" spans="1:38" hidden="1" x14ac:dyDescent="0.25">
      <c r="A127" s="24">
        <f t="shared" si="54"/>
        <v>126</v>
      </c>
      <c r="B127" s="25" t="s">
        <v>538</v>
      </c>
      <c r="C127" s="25" t="s">
        <v>539</v>
      </c>
      <c r="D127" s="25" t="s">
        <v>540</v>
      </c>
      <c r="E127" s="25" t="s">
        <v>541</v>
      </c>
      <c r="F127" s="25" t="s">
        <v>542</v>
      </c>
      <c r="G127" s="25" t="s">
        <v>554</v>
      </c>
      <c r="H127" s="25" t="s">
        <v>555</v>
      </c>
      <c r="I127" s="25" t="s">
        <v>556</v>
      </c>
      <c r="J127" s="25" t="s">
        <v>38</v>
      </c>
      <c r="K127" s="25">
        <v>60</v>
      </c>
      <c r="L127" s="25" t="s">
        <v>39</v>
      </c>
      <c r="M127" s="25" t="s">
        <v>58</v>
      </c>
      <c r="N127" s="23" t="s">
        <v>55</v>
      </c>
      <c r="O127" s="23" t="s">
        <v>59</v>
      </c>
      <c r="P127" s="26" t="s">
        <v>60</v>
      </c>
      <c r="Q127" s="26">
        <v>3</v>
      </c>
      <c r="R127" s="26" t="s">
        <v>61</v>
      </c>
      <c r="S127" s="26">
        <v>80</v>
      </c>
      <c r="T127" s="26">
        <v>90</v>
      </c>
      <c r="U127" s="22" t="s">
        <v>58</v>
      </c>
      <c r="V127" s="23" t="s">
        <v>62</v>
      </c>
      <c r="W127" s="23" t="s">
        <v>557</v>
      </c>
      <c r="X127" s="23" t="e">
        <f>IF(COUNTIF(#REF!,_xlfn.TEXTJOIN(".",,C127,F127,H127)),"是","否")</f>
        <v>#REF!</v>
      </c>
      <c r="Y127" s="23" t="e">
        <f t="shared" si="55"/>
        <v>#REF!</v>
      </c>
      <c r="Z127" s="23" t="s">
        <v>55</v>
      </c>
      <c r="AA127" s="23"/>
      <c r="AB127" s="23"/>
      <c r="AC127" s="23"/>
      <c r="AD127" s="23"/>
      <c r="AE127" s="23"/>
      <c r="AF127" s="23"/>
      <c r="AG127" s="23"/>
      <c r="AH127" s="23"/>
      <c r="AI127" s="23"/>
      <c r="AJ127" s="1" t="str">
        <f t="shared" si="56"/>
        <v>SYS.DMS.rabbitmq_instance_id.instance_disk_usage</v>
      </c>
      <c r="AK127" s="1" t="s">
        <v>152</v>
      </c>
      <c r="AL127" s="1"/>
    </row>
    <row r="128" spans="1:38" hidden="1" x14ac:dyDescent="0.25">
      <c r="A128" s="24">
        <f t="shared" si="54"/>
        <v>127</v>
      </c>
      <c r="B128" s="25" t="s">
        <v>538</v>
      </c>
      <c r="C128" s="25" t="s">
        <v>539</v>
      </c>
      <c r="D128" s="25" t="s">
        <v>540</v>
      </c>
      <c r="E128" s="25" t="s">
        <v>558</v>
      </c>
      <c r="F128" s="25" t="s">
        <v>559</v>
      </c>
      <c r="G128" s="25" t="s">
        <v>560</v>
      </c>
      <c r="H128" s="25" t="s">
        <v>561</v>
      </c>
      <c r="I128" s="22" t="s">
        <v>562</v>
      </c>
      <c r="J128" s="22" t="s">
        <v>38</v>
      </c>
      <c r="K128" s="22">
        <v>60</v>
      </c>
      <c r="L128" s="22" t="s">
        <v>39</v>
      </c>
      <c r="M128" s="22"/>
      <c r="N128" s="23" t="s">
        <v>55</v>
      </c>
      <c r="O128" s="23" t="s">
        <v>59</v>
      </c>
      <c r="P128" s="23" t="s">
        <v>60</v>
      </c>
      <c r="Q128" s="23">
        <v>3</v>
      </c>
      <c r="R128" s="23" t="s">
        <v>61</v>
      </c>
      <c r="S128" s="23">
        <v>1.5</v>
      </c>
      <c r="T128" s="23"/>
      <c r="U128" s="22"/>
      <c r="V128" s="23" t="s">
        <v>276</v>
      </c>
      <c r="W128" s="23"/>
      <c r="X128" s="23" t="e">
        <f>IF(COUNTIF(#REF!,_xlfn.TEXTJOIN(".",,C128,F128,H128)),"是","否")</f>
        <v>#REF!</v>
      </c>
      <c r="Y128" s="23" t="e">
        <f t="shared" si="55"/>
        <v>#REF!</v>
      </c>
      <c r="Z128" s="23"/>
      <c r="AA128" s="23"/>
      <c r="AB128" s="23"/>
      <c r="AC128" s="23"/>
      <c r="AD128" s="23"/>
      <c r="AE128" s="23"/>
      <c r="AF128" s="23"/>
      <c r="AG128" s="23"/>
      <c r="AH128" s="23"/>
      <c r="AI128" s="23"/>
      <c r="AJ128" s="1" t="str">
        <f t="shared" si="56"/>
        <v>SYS.DMS.reliablemq_instance_id,reliablemq_broker.broker_cpu_core_load</v>
      </c>
      <c r="AK128" s="1"/>
      <c r="AL128" s="1"/>
    </row>
    <row r="129" spans="1:38" hidden="1" x14ac:dyDescent="0.25">
      <c r="A129" s="24">
        <f t="shared" si="54"/>
        <v>128</v>
      </c>
      <c r="B129" s="25" t="s">
        <v>538</v>
      </c>
      <c r="C129" s="25" t="s">
        <v>539</v>
      </c>
      <c r="D129" s="25" t="s">
        <v>540</v>
      </c>
      <c r="E129" s="25" t="s">
        <v>558</v>
      </c>
      <c r="F129" s="25" t="s">
        <v>559</v>
      </c>
      <c r="G129" s="25" t="s">
        <v>563</v>
      </c>
      <c r="H129" s="25" t="s">
        <v>564</v>
      </c>
      <c r="I129" s="25" t="s">
        <v>565</v>
      </c>
      <c r="J129" s="25" t="s">
        <v>38</v>
      </c>
      <c r="K129" s="25">
        <v>60</v>
      </c>
      <c r="L129" s="25" t="s">
        <v>39</v>
      </c>
      <c r="M129" s="25" t="s">
        <v>58</v>
      </c>
      <c r="N129" s="23" t="s">
        <v>55</v>
      </c>
      <c r="O129" s="23" t="s">
        <v>59</v>
      </c>
      <c r="P129" s="23" t="s">
        <v>60</v>
      </c>
      <c r="Q129" s="23">
        <v>3</v>
      </c>
      <c r="R129" s="23" t="s">
        <v>61</v>
      </c>
      <c r="S129" s="23">
        <v>80</v>
      </c>
      <c r="T129" s="23">
        <v>90</v>
      </c>
      <c r="U129" s="23" t="s">
        <v>58</v>
      </c>
      <c r="V129" s="23" t="s">
        <v>62</v>
      </c>
      <c r="W129" s="23"/>
      <c r="X129" s="23" t="e">
        <f>IF(COUNTIF(#REF!,_xlfn.TEXTJOIN(".",,C129,F129,H129)),"是","否")</f>
        <v>#REF!</v>
      </c>
      <c r="Y129" s="23" t="e">
        <f t="shared" si="55"/>
        <v>#REF!</v>
      </c>
      <c r="Z129" s="23" t="s">
        <v>55</v>
      </c>
      <c r="AA129" s="27" t="s">
        <v>55</v>
      </c>
      <c r="AB129" s="27" t="s">
        <v>60</v>
      </c>
      <c r="AC129" s="27">
        <v>3</v>
      </c>
      <c r="AD129" s="27" t="s">
        <v>61</v>
      </c>
      <c r="AE129" s="27">
        <v>80</v>
      </c>
      <c r="AF129" s="27">
        <v>90</v>
      </c>
      <c r="AG129" s="27"/>
      <c r="AH129" s="27" t="s">
        <v>58</v>
      </c>
      <c r="AI129" s="27" t="s">
        <v>62</v>
      </c>
      <c r="AJ129" s="1" t="str">
        <f t="shared" si="56"/>
        <v>SYS.DMS.reliablemq_instance_id,reliablemq_broker.broker_disk_usage</v>
      </c>
      <c r="AK129" s="1" t="s">
        <v>152</v>
      </c>
      <c r="AL129" s="1"/>
    </row>
    <row r="130" spans="1:38" hidden="1" x14ac:dyDescent="0.25">
      <c r="A130" s="24">
        <f t="shared" si="54"/>
        <v>129</v>
      </c>
      <c r="B130" s="25" t="s">
        <v>538</v>
      </c>
      <c r="C130" s="25" t="s">
        <v>539</v>
      </c>
      <c r="D130" s="25" t="s">
        <v>540</v>
      </c>
      <c r="E130" s="25" t="s">
        <v>558</v>
      </c>
      <c r="F130" s="25" t="s">
        <v>559</v>
      </c>
      <c r="G130" s="25" t="s">
        <v>76</v>
      </c>
      <c r="H130" s="25" t="s">
        <v>566</v>
      </c>
      <c r="I130" s="25" t="s">
        <v>567</v>
      </c>
      <c r="J130" s="25" t="s">
        <v>38</v>
      </c>
      <c r="K130" s="25">
        <v>60</v>
      </c>
      <c r="L130" s="25" t="s">
        <v>39</v>
      </c>
      <c r="M130" s="25" t="s">
        <v>58</v>
      </c>
      <c r="N130" s="23" t="s">
        <v>55</v>
      </c>
      <c r="O130" s="23" t="s">
        <v>59</v>
      </c>
      <c r="P130" s="23" t="s">
        <v>60</v>
      </c>
      <c r="Q130" s="23">
        <v>3</v>
      </c>
      <c r="R130" s="23" t="s">
        <v>61</v>
      </c>
      <c r="S130" s="23">
        <v>80</v>
      </c>
      <c r="T130" s="23">
        <v>90</v>
      </c>
      <c r="U130" s="23" t="s">
        <v>58</v>
      </c>
      <c r="V130" s="23" t="s">
        <v>62</v>
      </c>
      <c r="W130" s="23"/>
      <c r="X130" s="23" t="e">
        <f>IF(COUNTIF(#REF!,_xlfn.TEXTJOIN(".",,C130,F130,H130)),"是","否")</f>
        <v>#REF!</v>
      </c>
      <c r="Y130" s="23" t="e">
        <f t="shared" si="55"/>
        <v>#REF!</v>
      </c>
      <c r="Z130" s="23" t="s">
        <v>55</v>
      </c>
      <c r="AA130" s="27" t="s">
        <v>55</v>
      </c>
      <c r="AB130" s="27" t="s">
        <v>60</v>
      </c>
      <c r="AC130" s="27">
        <v>3</v>
      </c>
      <c r="AD130" s="27" t="s">
        <v>61</v>
      </c>
      <c r="AE130" s="27">
        <v>80</v>
      </c>
      <c r="AF130" s="27">
        <v>90</v>
      </c>
      <c r="AG130" s="27"/>
      <c r="AH130" s="27" t="s">
        <v>58</v>
      </c>
      <c r="AI130" s="27" t="s">
        <v>62</v>
      </c>
      <c r="AJ130" s="1" t="str">
        <f t="shared" si="56"/>
        <v>SYS.DMS.reliablemq_instance_id,reliablemq_broker.broker_memory_usage</v>
      </c>
      <c r="AK130" s="1" t="s">
        <v>152</v>
      </c>
      <c r="AL130" s="1"/>
    </row>
    <row r="131" spans="1:38" hidden="1" x14ac:dyDescent="0.25">
      <c r="A131" s="24">
        <f t="shared" si="54"/>
        <v>130</v>
      </c>
      <c r="B131" s="25" t="s">
        <v>538</v>
      </c>
      <c r="C131" s="25" t="s">
        <v>539</v>
      </c>
      <c r="D131" s="25" t="s">
        <v>540</v>
      </c>
      <c r="E131" s="25" t="s">
        <v>558</v>
      </c>
      <c r="F131" s="25" t="s">
        <v>559</v>
      </c>
      <c r="G131" s="25" t="s">
        <v>568</v>
      </c>
      <c r="H131" s="25" t="s">
        <v>569</v>
      </c>
      <c r="I131" s="25" t="s">
        <v>570</v>
      </c>
      <c r="J131" s="25" t="s">
        <v>38</v>
      </c>
      <c r="K131" s="25">
        <v>60</v>
      </c>
      <c r="L131" s="25" t="s">
        <v>39</v>
      </c>
      <c r="M131" s="25"/>
      <c r="N131" s="23" t="s">
        <v>55</v>
      </c>
      <c r="O131" s="23" t="s">
        <v>59</v>
      </c>
      <c r="P131" s="23" t="s">
        <v>60</v>
      </c>
      <c r="Q131" s="23">
        <v>1</v>
      </c>
      <c r="R131" s="23" t="s">
        <v>136</v>
      </c>
      <c r="S131" s="23"/>
      <c r="T131" s="23">
        <v>0</v>
      </c>
      <c r="U131" s="23" t="s">
        <v>571</v>
      </c>
      <c r="V131" s="23" t="s">
        <v>62</v>
      </c>
      <c r="W131" s="23"/>
      <c r="X131" s="23" t="e">
        <f>IF(COUNTIF(#REF!,_xlfn.TEXTJOIN(".",,C131,F131,H131)),"是","否")</f>
        <v>#REF!</v>
      </c>
      <c r="Y131" s="23" t="e">
        <f t="shared" si="55"/>
        <v>#REF!</v>
      </c>
      <c r="Z131" s="23" t="s">
        <v>55</v>
      </c>
      <c r="AA131" s="27" t="s">
        <v>55</v>
      </c>
      <c r="AB131" s="27" t="s">
        <v>60</v>
      </c>
      <c r="AC131" s="27">
        <v>1</v>
      </c>
      <c r="AD131" s="27" t="s">
        <v>136</v>
      </c>
      <c r="AE131" s="27"/>
      <c r="AF131" s="27">
        <v>0</v>
      </c>
      <c r="AG131" s="27"/>
      <c r="AH131" s="27"/>
      <c r="AI131" s="27" t="s">
        <v>62</v>
      </c>
      <c r="AJ131" s="1" t="str">
        <f t="shared" si="56"/>
        <v>SYS.DMS.reliablemq_instance_id,reliablemq_broker.broker_alive</v>
      </c>
      <c r="AK131" s="1" t="s">
        <v>302</v>
      </c>
      <c r="AL131" s="1"/>
    </row>
    <row r="132" spans="1:38" hidden="1" x14ac:dyDescent="0.25">
      <c r="A132" s="24">
        <f t="shared" ref="A132:A152" si="57">ROW()-1</f>
        <v>131</v>
      </c>
      <c r="B132" s="25" t="s">
        <v>538</v>
      </c>
      <c r="C132" s="25" t="s">
        <v>539</v>
      </c>
      <c r="D132" s="25" t="s">
        <v>540</v>
      </c>
      <c r="E132" s="25" t="s">
        <v>558</v>
      </c>
      <c r="F132" s="25" t="s">
        <v>559</v>
      </c>
      <c r="G132" s="25" t="s">
        <v>175</v>
      </c>
      <c r="H132" s="25" t="s">
        <v>572</v>
      </c>
      <c r="I132" s="25" t="s">
        <v>573</v>
      </c>
      <c r="J132" s="25" t="s">
        <v>38</v>
      </c>
      <c r="K132" s="25">
        <v>60</v>
      </c>
      <c r="L132" s="25" t="s">
        <v>39</v>
      </c>
      <c r="M132" s="25" t="s">
        <v>83</v>
      </c>
      <c r="N132" s="23" t="s">
        <v>55</v>
      </c>
      <c r="O132" s="23" t="s">
        <v>59</v>
      </c>
      <c r="P132" s="23" t="s">
        <v>60</v>
      </c>
      <c r="Q132" s="23">
        <v>3</v>
      </c>
      <c r="R132" s="23" t="s">
        <v>61</v>
      </c>
      <c r="S132" s="23"/>
      <c r="T132" s="23">
        <v>2000</v>
      </c>
      <c r="U132" s="23" t="s">
        <v>83</v>
      </c>
      <c r="V132" s="23" t="s">
        <v>62</v>
      </c>
      <c r="W132" s="23"/>
      <c r="X132" s="23" t="e">
        <f>IF(COUNTIF(#REF!,_xlfn.TEXTJOIN(".",,C132,F132,H132)),"是","否")</f>
        <v>#REF!</v>
      </c>
      <c r="Y132" s="23" t="e">
        <f t="shared" ref="Y132:Y152" si="58">IF(AND(O132="底线指标",X132="是"),"是","否")</f>
        <v>#REF!</v>
      </c>
      <c r="Z132" s="23" t="s">
        <v>55</v>
      </c>
      <c r="AA132" s="27" t="s">
        <v>55</v>
      </c>
      <c r="AB132" s="27" t="s">
        <v>60</v>
      </c>
      <c r="AC132" s="27">
        <v>3</v>
      </c>
      <c r="AD132" s="27" t="s">
        <v>61</v>
      </c>
      <c r="AE132" s="27"/>
      <c r="AF132" s="27">
        <v>2000</v>
      </c>
      <c r="AG132" s="27" t="s">
        <v>574</v>
      </c>
      <c r="AH132" s="27"/>
      <c r="AI132" s="27" t="s">
        <v>62</v>
      </c>
      <c r="AJ132" s="1" t="str">
        <f t="shared" ref="AJ132:AJ152" si="59">_xlfn.TEXTJOIN(".",TRUE,C132,F132,H132)</f>
        <v>SYS.DMS.reliablemq_instance_id,reliablemq_broker.broker_connections</v>
      </c>
      <c r="AK132" s="1" t="s">
        <v>152</v>
      </c>
      <c r="AL132" s="1"/>
    </row>
    <row r="133" spans="1:38" ht="46" hidden="1" x14ac:dyDescent="0.25">
      <c r="A133" s="24">
        <f t="shared" si="57"/>
        <v>132</v>
      </c>
      <c r="B133" s="25" t="s">
        <v>538</v>
      </c>
      <c r="C133" s="25" t="s">
        <v>539</v>
      </c>
      <c r="D133" s="25" t="s">
        <v>540</v>
      </c>
      <c r="E133" s="25" t="s">
        <v>558</v>
      </c>
      <c r="F133" s="25" t="s">
        <v>559</v>
      </c>
      <c r="G133" s="25" t="s">
        <v>72</v>
      </c>
      <c r="H133" s="25" t="s">
        <v>575</v>
      </c>
      <c r="I133" s="25" t="s">
        <v>576</v>
      </c>
      <c r="J133" s="25" t="s">
        <v>38</v>
      </c>
      <c r="K133" s="25">
        <v>60</v>
      </c>
      <c r="L133" s="25" t="s">
        <v>39</v>
      </c>
      <c r="M133" s="25" t="s">
        <v>58</v>
      </c>
      <c r="N133" s="23" t="s">
        <v>55</v>
      </c>
      <c r="O133" s="23" t="s">
        <v>59</v>
      </c>
      <c r="P133" s="23" t="s">
        <v>60</v>
      </c>
      <c r="Q133" s="23">
        <v>3</v>
      </c>
      <c r="R133" s="23"/>
      <c r="S133" s="23" t="s">
        <v>64</v>
      </c>
      <c r="T133" s="34" t="s">
        <v>577</v>
      </c>
      <c r="U133" s="23" t="s">
        <v>58</v>
      </c>
      <c r="V133" s="23" t="s">
        <v>62</v>
      </c>
      <c r="W133" s="23"/>
      <c r="X133" s="23" t="e">
        <f>IF(COUNTIF(#REF!,_xlfn.TEXTJOIN(".",,C133,F133,H133)),"是","否")</f>
        <v>#REF!</v>
      </c>
      <c r="Y133" s="23" t="e">
        <f t="shared" si="58"/>
        <v>#REF!</v>
      </c>
      <c r="Z133" s="23" t="s">
        <v>55</v>
      </c>
      <c r="AA133" s="27" t="s">
        <v>55</v>
      </c>
      <c r="AB133" s="27" t="s">
        <v>60</v>
      </c>
      <c r="AC133" s="27">
        <v>3</v>
      </c>
      <c r="AD133" s="27"/>
      <c r="AE133" s="27" t="s">
        <v>64</v>
      </c>
      <c r="AF133" s="27" t="s">
        <v>577</v>
      </c>
      <c r="AG133" s="27"/>
      <c r="AH133" s="27"/>
      <c r="AI133" s="27" t="s">
        <v>62</v>
      </c>
      <c r="AJ133" s="1" t="str">
        <f t="shared" si="59"/>
        <v>SYS.DMS.reliablemq_instance_id,reliablemq_broker.broker_cpu_usage</v>
      </c>
      <c r="AK133" s="1" t="s">
        <v>152</v>
      </c>
      <c r="AL133" s="1"/>
    </row>
    <row r="134" spans="1:38" hidden="1" x14ac:dyDescent="0.25">
      <c r="A134" s="24">
        <f t="shared" si="57"/>
        <v>133</v>
      </c>
      <c r="B134" s="25" t="s">
        <v>538</v>
      </c>
      <c r="C134" s="25" t="s">
        <v>539</v>
      </c>
      <c r="D134" s="25" t="s">
        <v>540</v>
      </c>
      <c r="E134" s="25" t="s">
        <v>558</v>
      </c>
      <c r="F134" s="25" t="s">
        <v>559</v>
      </c>
      <c r="G134" s="25" t="s">
        <v>578</v>
      </c>
      <c r="H134" s="25" t="s">
        <v>579</v>
      </c>
      <c r="I134" s="25" t="s">
        <v>580</v>
      </c>
      <c r="J134" s="25" t="s">
        <v>38</v>
      </c>
      <c r="K134" s="25">
        <v>60</v>
      </c>
      <c r="L134" s="25" t="s">
        <v>39</v>
      </c>
      <c r="M134" s="25" t="s">
        <v>44</v>
      </c>
      <c r="N134" s="23" t="s">
        <v>55</v>
      </c>
      <c r="O134" s="23" t="s">
        <v>59</v>
      </c>
      <c r="P134" s="23" t="s">
        <v>60</v>
      </c>
      <c r="Q134" s="23">
        <v>3</v>
      </c>
      <c r="R134" s="23" t="s">
        <v>61</v>
      </c>
      <c r="S134" s="23"/>
      <c r="T134" s="23">
        <v>5000</v>
      </c>
      <c r="U134" s="23" t="s">
        <v>44</v>
      </c>
      <c r="V134" s="23" t="s">
        <v>62</v>
      </c>
      <c r="W134" s="23"/>
      <c r="X134" s="23" t="e">
        <f>IF(COUNTIF(#REF!,_xlfn.TEXTJOIN(".",,C134,F134,H134)),"是","否")</f>
        <v>#REF!</v>
      </c>
      <c r="Y134" s="23" t="e">
        <f t="shared" si="58"/>
        <v>#REF!</v>
      </c>
      <c r="Z134" s="23" t="s">
        <v>55</v>
      </c>
      <c r="AA134" s="27" t="s">
        <v>55</v>
      </c>
      <c r="AB134" s="27" t="s">
        <v>60</v>
      </c>
      <c r="AC134" s="27">
        <v>3</v>
      </c>
      <c r="AD134" s="27" t="s">
        <v>61</v>
      </c>
      <c r="AE134" s="27"/>
      <c r="AF134" s="27">
        <v>5000</v>
      </c>
      <c r="AG134" s="27"/>
      <c r="AH134" s="27" t="s">
        <v>44</v>
      </c>
      <c r="AI134" s="27" t="s">
        <v>62</v>
      </c>
      <c r="AJ134" s="1" t="str">
        <f t="shared" si="59"/>
        <v>SYS.DMS.reliablemq_instance_id,reliablemq_broker.broker_disk_read_await</v>
      </c>
      <c r="AK134" s="1" t="s">
        <v>302</v>
      </c>
      <c r="AL134" s="1"/>
    </row>
    <row r="135" spans="1:38" hidden="1" x14ac:dyDescent="0.25">
      <c r="A135" s="24">
        <f t="shared" si="57"/>
        <v>134</v>
      </c>
      <c r="B135" s="25" t="s">
        <v>538</v>
      </c>
      <c r="C135" s="25" t="s">
        <v>539</v>
      </c>
      <c r="D135" s="25" t="s">
        <v>540</v>
      </c>
      <c r="E135" s="25" t="s">
        <v>558</v>
      </c>
      <c r="F135" s="25" t="s">
        <v>559</v>
      </c>
      <c r="G135" s="25" t="s">
        <v>581</v>
      </c>
      <c r="H135" s="25" t="s">
        <v>582</v>
      </c>
      <c r="I135" s="25" t="s">
        <v>583</v>
      </c>
      <c r="J135" s="25" t="s">
        <v>38</v>
      </c>
      <c r="K135" s="25">
        <v>60</v>
      </c>
      <c r="L135" s="25" t="s">
        <v>39</v>
      </c>
      <c r="M135" s="25" t="s">
        <v>44</v>
      </c>
      <c r="N135" s="23" t="s">
        <v>55</v>
      </c>
      <c r="O135" s="23" t="s">
        <v>59</v>
      </c>
      <c r="P135" s="23" t="s">
        <v>60</v>
      </c>
      <c r="Q135" s="23">
        <v>3</v>
      </c>
      <c r="R135" s="23" t="s">
        <v>61</v>
      </c>
      <c r="S135" s="23"/>
      <c r="T135" s="23">
        <v>5000</v>
      </c>
      <c r="U135" s="23" t="s">
        <v>44</v>
      </c>
      <c r="V135" s="23" t="s">
        <v>62</v>
      </c>
      <c r="W135" s="23"/>
      <c r="X135" s="23" t="e">
        <f>IF(COUNTIF(#REF!,_xlfn.TEXTJOIN(".",,C135,F135,H135)),"是","否")</f>
        <v>#REF!</v>
      </c>
      <c r="Y135" s="23" t="e">
        <f t="shared" si="58"/>
        <v>#REF!</v>
      </c>
      <c r="Z135" s="23" t="s">
        <v>55</v>
      </c>
      <c r="AA135" s="27" t="s">
        <v>55</v>
      </c>
      <c r="AB135" s="27" t="s">
        <v>60</v>
      </c>
      <c r="AC135" s="27">
        <v>3</v>
      </c>
      <c r="AD135" s="27" t="s">
        <v>61</v>
      </c>
      <c r="AE135" s="27"/>
      <c r="AF135" s="27">
        <v>5000</v>
      </c>
      <c r="AG135" s="27"/>
      <c r="AH135" s="27" t="s">
        <v>44</v>
      </c>
      <c r="AI135" s="27" t="s">
        <v>62</v>
      </c>
      <c r="AJ135" s="1" t="str">
        <f t="shared" si="59"/>
        <v>SYS.DMS.reliablemq_instance_id,reliablemq_broker.broker_disk_write_await</v>
      </c>
      <c r="AK135" s="1" t="s">
        <v>302</v>
      </c>
      <c r="AL135" s="1"/>
    </row>
    <row r="136" spans="1:38" hidden="1" x14ac:dyDescent="0.25">
      <c r="A136" s="24">
        <f t="shared" si="57"/>
        <v>135</v>
      </c>
      <c r="B136" s="25" t="s">
        <v>538</v>
      </c>
      <c r="C136" s="25" t="s">
        <v>539</v>
      </c>
      <c r="D136" s="25" t="s">
        <v>540</v>
      </c>
      <c r="E136" s="25" t="s">
        <v>558</v>
      </c>
      <c r="F136" s="25" t="s">
        <v>559</v>
      </c>
      <c r="G136" s="25" t="s">
        <v>584</v>
      </c>
      <c r="H136" s="25" t="s">
        <v>585</v>
      </c>
      <c r="I136" s="25" t="s">
        <v>586</v>
      </c>
      <c r="J136" s="25" t="s">
        <v>38</v>
      </c>
      <c r="K136" s="25">
        <v>60</v>
      </c>
      <c r="L136" s="25" t="s">
        <v>39</v>
      </c>
      <c r="M136" s="25" t="s">
        <v>44</v>
      </c>
      <c r="N136" s="23" t="s">
        <v>55</v>
      </c>
      <c r="O136" s="23" t="s">
        <v>59</v>
      </c>
      <c r="P136" s="23" t="s">
        <v>60</v>
      </c>
      <c r="Q136" s="23">
        <v>3</v>
      </c>
      <c r="R136" s="23" t="s">
        <v>61</v>
      </c>
      <c r="S136" s="23">
        <v>50</v>
      </c>
      <c r="T136" s="23"/>
      <c r="U136" s="23" t="s">
        <v>44</v>
      </c>
      <c r="V136" s="23" t="s">
        <v>62</v>
      </c>
      <c r="W136" s="23"/>
      <c r="X136" s="23" t="e">
        <f>IF(COUNTIF(#REF!,_xlfn.TEXTJOIN(".",,C136,F136,H136)),"是","否")</f>
        <v>#REF!</v>
      </c>
      <c r="Y136" s="23" t="e">
        <f t="shared" si="58"/>
        <v>#REF!</v>
      </c>
      <c r="Z136" s="23" t="s">
        <v>55</v>
      </c>
      <c r="AA136" s="27" t="s">
        <v>55</v>
      </c>
      <c r="AB136" s="27" t="s">
        <v>60</v>
      </c>
      <c r="AC136" s="27">
        <v>3</v>
      </c>
      <c r="AD136" s="27" t="s">
        <v>61</v>
      </c>
      <c r="AE136" s="27">
        <v>50</v>
      </c>
      <c r="AF136" s="27"/>
      <c r="AG136" s="27" t="s">
        <v>587</v>
      </c>
      <c r="AH136" s="27" t="s">
        <v>44</v>
      </c>
      <c r="AI136" s="27" t="s">
        <v>62</v>
      </c>
      <c r="AJ136" s="1" t="str">
        <f t="shared" si="59"/>
        <v>SYS.DMS.reliablemq_instance_id,reliablemq_broker.broker_produce_p99</v>
      </c>
      <c r="AK136" s="1" t="s">
        <v>302</v>
      </c>
      <c r="AL136" s="1"/>
    </row>
    <row r="137" spans="1:38" hidden="1" x14ac:dyDescent="0.25">
      <c r="A137" s="24">
        <f t="shared" si="57"/>
        <v>136</v>
      </c>
      <c r="B137" s="25" t="s">
        <v>538</v>
      </c>
      <c r="C137" s="25" t="s">
        <v>539</v>
      </c>
      <c r="D137" s="25" t="s">
        <v>540</v>
      </c>
      <c r="E137" s="25" t="s">
        <v>558</v>
      </c>
      <c r="F137" s="25" t="s">
        <v>559</v>
      </c>
      <c r="G137" s="25" t="s">
        <v>588</v>
      </c>
      <c r="H137" s="25" t="s">
        <v>589</v>
      </c>
      <c r="I137" s="25" t="s">
        <v>590</v>
      </c>
      <c r="J137" s="25" t="s">
        <v>38</v>
      </c>
      <c r="K137" s="25">
        <v>60</v>
      </c>
      <c r="L137" s="25" t="s">
        <v>39</v>
      </c>
      <c r="M137" s="25" t="s">
        <v>44</v>
      </c>
      <c r="N137" s="23" t="s">
        <v>55</v>
      </c>
      <c r="O137" s="23" t="s">
        <v>59</v>
      </c>
      <c r="P137" s="23" t="s">
        <v>60</v>
      </c>
      <c r="Q137" s="23">
        <v>3</v>
      </c>
      <c r="R137" s="23" t="s">
        <v>61</v>
      </c>
      <c r="S137" s="23">
        <v>50</v>
      </c>
      <c r="T137" s="23"/>
      <c r="U137" s="23" t="s">
        <v>44</v>
      </c>
      <c r="V137" s="23" t="s">
        <v>62</v>
      </c>
      <c r="W137" s="23"/>
      <c r="X137" s="23" t="e">
        <f>IF(COUNTIF(#REF!,_xlfn.TEXTJOIN(".",,C137,F137,H137)),"是","否")</f>
        <v>#REF!</v>
      </c>
      <c r="Y137" s="23" t="e">
        <f t="shared" si="58"/>
        <v>#REF!</v>
      </c>
      <c r="Z137" s="23" t="s">
        <v>55</v>
      </c>
      <c r="AA137" s="27" t="s">
        <v>55</v>
      </c>
      <c r="AB137" s="27" t="s">
        <v>60</v>
      </c>
      <c r="AC137" s="27">
        <v>3</v>
      </c>
      <c r="AD137" s="27" t="s">
        <v>61</v>
      </c>
      <c r="AE137" s="27">
        <v>50</v>
      </c>
      <c r="AF137" s="27"/>
      <c r="AG137" s="27" t="s">
        <v>587</v>
      </c>
      <c r="AH137" s="27" t="s">
        <v>44</v>
      </c>
      <c r="AI137" s="27" t="s">
        <v>62</v>
      </c>
      <c r="AJ137" s="1" t="str">
        <f t="shared" si="59"/>
        <v>SYS.DMS.reliablemq_instance_id,reliablemq_broker.broker_produce_p999</v>
      </c>
      <c r="AK137" s="1" t="s">
        <v>302</v>
      </c>
      <c r="AL137" s="1"/>
    </row>
    <row r="138" spans="1:38" hidden="1" x14ac:dyDescent="0.25">
      <c r="A138" s="24">
        <f t="shared" si="57"/>
        <v>137</v>
      </c>
      <c r="B138" s="25" t="s">
        <v>538</v>
      </c>
      <c r="C138" s="25" t="s">
        <v>539</v>
      </c>
      <c r="D138" s="25" t="s">
        <v>540</v>
      </c>
      <c r="E138" s="25" t="s">
        <v>558</v>
      </c>
      <c r="F138" s="25" t="s">
        <v>559</v>
      </c>
      <c r="G138" s="25" t="s">
        <v>592</v>
      </c>
      <c r="H138" s="25" t="s">
        <v>593</v>
      </c>
      <c r="I138" s="25" t="s">
        <v>594</v>
      </c>
      <c r="J138" s="25" t="s">
        <v>38</v>
      </c>
      <c r="K138" s="25">
        <v>60</v>
      </c>
      <c r="L138" s="25" t="s">
        <v>39</v>
      </c>
      <c r="M138" s="25" t="s">
        <v>58</v>
      </c>
      <c r="N138" s="23" t="s">
        <v>55</v>
      </c>
      <c r="O138" s="23" t="s">
        <v>59</v>
      </c>
      <c r="P138" s="23" t="s">
        <v>60</v>
      </c>
      <c r="Q138" s="23">
        <v>1</v>
      </c>
      <c r="R138" s="23" t="s">
        <v>366</v>
      </c>
      <c r="S138" s="23"/>
      <c r="T138" s="23">
        <v>90</v>
      </c>
      <c r="U138" s="23" t="s">
        <v>58</v>
      </c>
      <c r="V138" s="23" t="s">
        <v>62</v>
      </c>
      <c r="W138" s="23"/>
      <c r="X138" s="23" t="e">
        <f>IF(COUNTIF(#REF!,_xlfn.TEXTJOIN(".",,C138,F138,H138)),"是","否")</f>
        <v>#REF!</v>
      </c>
      <c r="Y138" s="23" t="e">
        <f t="shared" si="58"/>
        <v>#REF!</v>
      </c>
      <c r="Z138" s="23" t="s">
        <v>55</v>
      </c>
      <c r="AA138" s="27" t="s">
        <v>55</v>
      </c>
      <c r="AB138" s="27" t="s">
        <v>60</v>
      </c>
      <c r="AC138" s="27">
        <v>1</v>
      </c>
      <c r="AD138" s="27" t="s">
        <v>366</v>
      </c>
      <c r="AE138" s="27"/>
      <c r="AF138" s="27">
        <v>90</v>
      </c>
      <c r="AG138" s="27"/>
      <c r="AH138" s="27" t="s">
        <v>58</v>
      </c>
      <c r="AI138" s="27" t="s">
        <v>62</v>
      </c>
      <c r="AJ138" s="1" t="str">
        <f t="shared" si="59"/>
        <v>SYS.DMS.reliablemq_instance_id,reliablemq_broker.broker_produce_success_rate</v>
      </c>
      <c r="AK138" s="1" t="s">
        <v>302</v>
      </c>
      <c r="AL138" s="1"/>
    </row>
    <row r="139" spans="1:38" hidden="1" x14ac:dyDescent="0.25">
      <c r="A139" s="24">
        <f t="shared" si="57"/>
        <v>138</v>
      </c>
      <c r="B139" s="25" t="s">
        <v>538</v>
      </c>
      <c r="C139" s="25" t="s">
        <v>539</v>
      </c>
      <c r="D139" s="25" t="s">
        <v>540</v>
      </c>
      <c r="E139" s="25" t="s">
        <v>595</v>
      </c>
      <c r="F139" s="25" t="s">
        <v>596</v>
      </c>
      <c r="G139" s="25" t="s">
        <v>597</v>
      </c>
      <c r="H139" s="25" t="s">
        <v>598</v>
      </c>
      <c r="I139" s="25" t="s">
        <v>599</v>
      </c>
      <c r="J139" s="25" t="s">
        <v>38</v>
      </c>
      <c r="K139" s="25">
        <v>60</v>
      </c>
      <c r="L139" s="25" t="s">
        <v>177</v>
      </c>
      <c r="M139" s="25" t="s">
        <v>83</v>
      </c>
      <c r="N139" s="23" t="s">
        <v>55</v>
      </c>
      <c r="O139" s="23" t="s">
        <v>59</v>
      </c>
      <c r="P139" s="23" t="s">
        <v>60</v>
      </c>
      <c r="Q139" s="23">
        <v>3</v>
      </c>
      <c r="R139" s="23" t="s">
        <v>61</v>
      </c>
      <c r="S139" s="23">
        <v>0</v>
      </c>
      <c r="T139" s="23"/>
      <c r="U139" s="23" t="s">
        <v>83</v>
      </c>
      <c r="V139" s="23" t="s">
        <v>62</v>
      </c>
      <c r="W139" s="23"/>
      <c r="X139" s="23" t="e">
        <f>IF(COUNTIF(#REF!,_xlfn.TEXTJOIN(".",,C139,F139,H139)),"是","否")</f>
        <v>#REF!</v>
      </c>
      <c r="Y139" s="23" t="e">
        <f t="shared" si="58"/>
        <v>#REF!</v>
      </c>
      <c r="Z139" s="23" t="s">
        <v>55</v>
      </c>
      <c r="AA139" s="27" t="s">
        <v>55</v>
      </c>
      <c r="AB139" s="27" t="s">
        <v>60</v>
      </c>
      <c r="AC139" s="27">
        <v>3</v>
      </c>
      <c r="AD139" s="27" t="s">
        <v>61</v>
      </c>
      <c r="AE139" s="27">
        <v>0</v>
      </c>
      <c r="AF139" s="27"/>
      <c r="AG139" s="27"/>
      <c r="AH139" s="27"/>
      <c r="AI139" s="27" t="s">
        <v>62</v>
      </c>
      <c r="AJ139" s="1" t="str">
        <f t="shared" si="59"/>
        <v>SYS.DMS.reliablemq_instance_id,reliablemq_dlq_topics.dlq_accumulation</v>
      </c>
      <c r="AK139" s="1" t="s">
        <v>302</v>
      </c>
      <c r="AL139" s="1"/>
    </row>
    <row r="140" spans="1:38" hidden="1" x14ac:dyDescent="0.25">
      <c r="A140" s="24">
        <f t="shared" si="57"/>
        <v>139</v>
      </c>
      <c r="B140" s="25" t="s">
        <v>538</v>
      </c>
      <c r="C140" s="25" t="s">
        <v>539</v>
      </c>
      <c r="D140" s="25" t="s">
        <v>540</v>
      </c>
      <c r="E140" s="25" t="s">
        <v>595</v>
      </c>
      <c r="F140" s="25" t="s">
        <v>596</v>
      </c>
      <c r="G140" s="25" t="s">
        <v>600</v>
      </c>
      <c r="H140" s="25" t="s">
        <v>601</v>
      </c>
      <c r="I140" s="25" t="s">
        <v>602</v>
      </c>
      <c r="J140" s="25" t="s">
        <v>38</v>
      </c>
      <c r="K140" s="25">
        <v>60</v>
      </c>
      <c r="L140" s="25" t="s">
        <v>45</v>
      </c>
      <c r="M140" s="25" t="s">
        <v>43</v>
      </c>
      <c r="N140" s="23" t="s">
        <v>55</v>
      </c>
      <c r="O140" s="23" t="s">
        <v>59</v>
      </c>
      <c r="P140" s="26" t="s">
        <v>60</v>
      </c>
      <c r="Q140" s="26">
        <v>3</v>
      </c>
      <c r="R140" s="26" t="s">
        <v>61</v>
      </c>
      <c r="S140" s="26">
        <v>0</v>
      </c>
      <c r="T140" s="26"/>
      <c r="U140" s="22" t="s">
        <v>43</v>
      </c>
      <c r="V140" s="23" t="s">
        <v>62</v>
      </c>
      <c r="W140" s="23"/>
      <c r="X140" s="23" t="e">
        <f>IF(COUNTIF(#REF!,_xlfn.TEXTJOIN(".",,C140,F140,H140)),"是","否")</f>
        <v>#REF!</v>
      </c>
      <c r="Y140" s="23" t="e">
        <f t="shared" si="58"/>
        <v>#REF!</v>
      </c>
      <c r="Z140" s="23" t="s">
        <v>55</v>
      </c>
      <c r="AA140" s="23"/>
      <c r="AB140" s="23"/>
      <c r="AC140" s="23"/>
      <c r="AD140" s="23"/>
      <c r="AE140" s="23"/>
      <c r="AF140" s="23"/>
      <c r="AG140" s="23"/>
      <c r="AH140" s="23"/>
      <c r="AI140" s="23"/>
      <c r="AJ140" s="1" t="str">
        <f t="shared" si="59"/>
        <v>SYS.DMS.reliablemq_instance_id,reliablemq_dlq_topics.dlq_increase</v>
      </c>
      <c r="AK140" s="1" t="s">
        <v>302</v>
      </c>
      <c r="AL140" s="1"/>
    </row>
    <row r="141" spans="1:38" hidden="1" x14ac:dyDescent="0.25">
      <c r="A141" s="24">
        <f t="shared" si="57"/>
        <v>140</v>
      </c>
      <c r="B141" s="25" t="s">
        <v>538</v>
      </c>
      <c r="C141" s="25" t="s">
        <v>539</v>
      </c>
      <c r="D141" s="25" t="s">
        <v>540</v>
      </c>
      <c r="E141" s="25" t="s">
        <v>603</v>
      </c>
      <c r="F141" s="25" t="s">
        <v>604</v>
      </c>
      <c r="G141" s="25" t="s">
        <v>605</v>
      </c>
      <c r="H141" s="25" t="s">
        <v>606</v>
      </c>
      <c r="I141" s="25" t="s">
        <v>607</v>
      </c>
      <c r="J141" s="25" t="s">
        <v>38</v>
      </c>
      <c r="K141" s="25">
        <v>60</v>
      </c>
      <c r="L141" s="25"/>
      <c r="M141" s="25" t="s">
        <v>83</v>
      </c>
      <c r="N141" s="23" t="s">
        <v>55</v>
      </c>
      <c r="O141" s="23" t="s">
        <v>59</v>
      </c>
      <c r="P141" s="23" t="s">
        <v>60</v>
      </c>
      <c r="Q141" s="23">
        <v>1</v>
      </c>
      <c r="R141" s="23" t="s">
        <v>61</v>
      </c>
      <c r="S141" s="23">
        <v>10000</v>
      </c>
      <c r="T141" s="23"/>
      <c r="U141" s="23" t="s">
        <v>83</v>
      </c>
      <c r="V141" s="23" t="s">
        <v>62</v>
      </c>
      <c r="W141" s="23"/>
      <c r="X141" s="23" t="e">
        <f>IF(COUNTIF(#REF!,_xlfn.TEXTJOIN(".",,C141,F141,H141)),"是","否")</f>
        <v>#REF!</v>
      </c>
      <c r="Y141" s="23" t="e">
        <f t="shared" si="58"/>
        <v>#REF!</v>
      </c>
      <c r="Z141" s="23" t="s">
        <v>55</v>
      </c>
      <c r="AA141" s="27" t="s">
        <v>55</v>
      </c>
      <c r="AB141" s="27" t="s">
        <v>60</v>
      </c>
      <c r="AC141" s="27">
        <v>1</v>
      </c>
      <c r="AD141" s="27" t="s">
        <v>61</v>
      </c>
      <c r="AE141" s="27">
        <v>10000</v>
      </c>
      <c r="AF141" s="27"/>
      <c r="AG141" s="27" t="s">
        <v>550</v>
      </c>
      <c r="AH141" s="27"/>
      <c r="AI141" s="27" t="s">
        <v>62</v>
      </c>
      <c r="AJ141" s="1" t="str">
        <f t="shared" si="59"/>
        <v>SYS.DMS.kafka_instance_id,kafka_groups,kafka_groups_topics.topic_messages_remained</v>
      </c>
      <c r="AK141" s="1" t="s">
        <v>302</v>
      </c>
      <c r="AL141" s="1"/>
    </row>
    <row r="142" spans="1:38" hidden="1" x14ac:dyDescent="0.25">
      <c r="A142" s="24">
        <f t="shared" si="57"/>
        <v>141</v>
      </c>
      <c r="B142" s="25" t="s">
        <v>538</v>
      </c>
      <c r="C142" s="25" t="s">
        <v>539</v>
      </c>
      <c r="D142" s="25" t="s">
        <v>540</v>
      </c>
      <c r="E142" s="25" t="s">
        <v>608</v>
      </c>
      <c r="F142" s="25" t="s">
        <v>609</v>
      </c>
      <c r="G142" s="25" t="s">
        <v>610</v>
      </c>
      <c r="H142" s="25" t="s">
        <v>611</v>
      </c>
      <c r="I142" s="25" t="s">
        <v>612</v>
      </c>
      <c r="J142" s="25" t="s">
        <v>38</v>
      </c>
      <c r="K142" s="25">
        <v>60</v>
      </c>
      <c r="L142" s="25"/>
      <c r="M142" s="25" t="s">
        <v>83</v>
      </c>
      <c r="N142" s="23" t="s">
        <v>55</v>
      </c>
      <c r="O142" s="23" t="s">
        <v>59</v>
      </c>
      <c r="P142" s="23" t="s">
        <v>60</v>
      </c>
      <c r="Q142" s="23">
        <v>1</v>
      </c>
      <c r="R142" s="23" t="s">
        <v>61</v>
      </c>
      <c r="S142" s="23">
        <v>10000</v>
      </c>
      <c r="T142" s="23"/>
      <c r="U142" s="23" t="s">
        <v>83</v>
      </c>
      <c r="V142" s="23" t="s">
        <v>62</v>
      </c>
      <c r="W142" s="23"/>
      <c r="X142" s="23" t="e">
        <f>IF(COUNTIF(#REF!,_xlfn.TEXTJOIN(".",,C142,F142,H142)),"是","否")</f>
        <v>#REF!</v>
      </c>
      <c r="Y142" s="23" t="e">
        <f t="shared" si="58"/>
        <v>#REF!</v>
      </c>
      <c r="Z142" s="23" t="s">
        <v>55</v>
      </c>
      <c r="AA142" s="27" t="s">
        <v>55</v>
      </c>
      <c r="AB142" s="27" t="s">
        <v>60</v>
      </c>
      <c r="AC142" s="27">
        <v>1</v>
      </c>
      <c r="AD142" s="27" t="s">
        <v>61</v>
      </c>
      <c r="AE142" s="27">
        <v>10000</v>
      </c>
      <c r="AF142" s="27"/>
      <c r="AG142" s="27" t="s">
        <v>550</v>
      </c>
      <c r="AH142" s="27"/>
      <c r="AI142" s="27" t="s">
        <v>62</v>
      </c>
      <c r="AJ142" s="1" t="str">
        <f t="shared" si="59"/>
        <v>SYS.DMS.kafka_instance_id,kafka_groups.consumer_messages_remained</v>
      </c>
      <c r="AK142" s="1" t="s">
        <v>302</v>
      </c>
      <c r="AL142" s="1"/>
    </row>
    <row r="143" spans="1:38" hidden="1" x14ac:dyDescent="0.25">
      <c r="A143" s="24">
        <f t="shared" si="57"/>
        <v>142</v>
      </c>
      <c r="B143" s="25" t="s">
        <v>538</v>
      </c>
      <c r="C143" s="25" t="s">
        <v>539</v>
      </c>
      <c r="D143" s="25" t="s">
        <v>540</v>
      </c>
      <c r="E143" s="25" t="s">
        <v>613</v>
      </c>
      <c r="F143" s="25" t="s">
        <v>614</v>
      </c>
      <c r="G143" s="25" t="s">
        <v>615</v>
      </c>
      <c r="H143" s="25" t="s">
        <v>616</v>
      </c>
      <c r="I143" s="25" t="s">
        <v>617</v>
      </c>
      <c r="J143" s="25" t="s">
        <v>38</v>
      </c>
      <c r="K143" s="25">
        <v>60</v>
      </c>
      <c r="L143" s="25"/>
      <c r="M143" s="25" t="s">
        <v>83</v>
      </c>
      <c r="N143" s="23" t="s">
        <v>55</v>
      </c>
      <c r="O143" s="23" t="s">
        <v>59</v>
      </c>
      <c r="P143" s="23" t="s">
        <v>60</v>
      </c>
      <c r="Q143" s="23">
        <v>3</v>
      </c>
      <c r="R143" s="23" t="s">
        <v>61</v>
      </c>
      <c r="S143" s="23">
        <v>2500</v>
      </c>
      <c r="T143" s="23"/>
      <c r="U143" s="23" t="s">
        <v>83</v>
      </c>
      <c r="V143" s="23" t="s">
        <v>62</v>
      </c>
      <c r="W143" s="23"/>
      <c r="X143" s="23" t="e">
        <f>IF(COUNTIF(#REF!,_xlfn.TEXTJOIN(".",,C143,F143,H143)),"是","否")</f>
        <v>#REF!</v>
      </c>
      <c r="Y143" s="23" t="e">
        <f t="shared" si="58"/>
        <v>#REF!</v>
      </c>
      <c r="Z143" s="23" t="s">
        <v>55</v>
      </c>
      <c r="AA143" s="27" t="s">
        <v>55</v>
      </c>
      <c r="AB143" s="27" t="s">
        <v>60</v>
      </c>
      <c r="AC143" s="27">
        <v>3</v>
      </c>
      <c r="AD143" s="27" t="s">
        <v>61</v>
      </c>
      <c r="AE143" s="27">
        <v>2500</v>
      </c>
      <c r="AF143" s="27"/>
      <c r="AG143" s="27" t="s">
        <v>618</v>
      </c>
      <c r="AH143" s="27"/>
      <c r="AI143" s="27" t="s">
        <v>62</v>
      </c>
      <c r="AJ143" s="1" t="str">
        <f t="shared" si="59"/>
        <v>SYS.DMS.rabbitmq_instance_id,rabbitmq_node.socket_used</v>
      </c>
      <c r="AK143" s="1" t="s">
        <v>152</v>
      </c>
      <c r="AL143" s="1"/>
    </row>
    <row r="144" spans="1:38" hidden="1" x14ac:dyDescent="0.25">
      <c r="A144" s="24">
        <f t="shared" si="57"/>
        <v>143</v>
      </c>
      <c r="B144" s="25" t="s">
        <v>538</v>
      </c>
      <c r="C144" s="25" t="s">
        <v>539</v>
      </c>
      <c r="D144" s="25" t="s">
        <v>540</v>
      </c>
      <c r="E144" s="25" t="s">
        <v>613</v>
      </c>
      <c r="F144" s="25" t="s">
        <v>614</v>
      </c>
      <c r="G144" s="25" t="s">
        <v>568</v>
      </c>
      <c r="H144" s="25" t="s">
        <v>619</v>
      </c>
      <c r="I144" s="25" t="s">
        <v>620</v>
      </c>
      <c r="J144" s="25" t="s">
        <v>38</v>
      </c>
      <c r="K144" s="25">
        <v>60</v>
      </c>
      <c r="L144" s="25"/>
      <c r="M144" s="25"/>
      <c r="N144" s="23" t="s">
        <v>55</v>
      </c>
      <c r="O144" s="23" t="s">
        <v>59</v>
      </c>
      <c r="P144" s="23" t="s">
        <v>60</v>
      </c>
      <c r="Q144" s="23">
        <v>1</v>
      </c>
      <c r="R144" s="23" t="s">
        <v>136</v>
      </c>
      <c r="S144" s="23"/>
      <c r="T144" s="23">
        <v>0</v>
      </c>
      <c r="U144" s="23" t="s">
        <v>571</v>
      </c>
      <c r="V144" s="23" t="s">
        <v>62</v>
      </c>
      <c r="W144" s="23"/>
      <c r="X144" s="23" t="e">
        <f>IF(COUNTIF(#REF!,_xlfn.TEXTJOIN(".",,C144,F144,H144)),"是","否")</f>
        <v>#REF!</v>
      </c>
      <c r="Y144" s="23" t="e">
        <f t="shared" si="58"/>
        <v>#REF!</v>
      </c>
      <c r="Z144" s="23" t="s">
        <v>55</v>
      </c>
      <c r="AA144" s="27" t="s">
        <v>55</v>
      </c>
      <c r="AB144" s="27" t="s">
        <v>60</v>
      </c>
      <c r="AC144" s="27">
        <v>1</v>
      </c>
      <c r="AD144" s="27" t="s">
        <v>136</v>
      </c>
      <c r="AE144" s="27"/>
      <c r="AF144" s="27">
        <v>0</v>
      </c>
      <c r="AG144" s="27"/>
      <c r="AH144" s="27"/>
      <c r="AI144" s="27" t="s">
        <v>62</v>
      </c>
      <c r="AJ144" s="1" t="str">
        <f t="shared" si="59"/>
        <v>SYS.DMS.rabbitmq_instance_id,rabbitmq_node.rabbitmq_alive</v>
      </c>
      <c r="AK144" s="1" t="s">
        <v>302</v>
      </c>
      <c r="AL144" s="1"/>
    </row>
    <row r="145" spans="1:38" hidden="1" x14ac:dyDescent="0.25">
      <c r="A145" s="24">
        <f t="shared" si="57"/>
        <v>144</v>
      </c>
      <c r="B145" s="25" t="s">
        <v>538</v>
      </c>
      <c r="C145" s="25" t="s">
        <v>539</v>
      </c>
      <c r="D145" s="25" t="s">
        <v>540</v>
      </c>
      <c r="E145" s="25" t="s">
        <v>613</v>
      </c>
      <c r="F145" s="25" t="s">
        <v>614</v>
      </c>
      <c r="G145" s="25" t="s">
        <v>563</v>
      </c>
      <c r="H145" s="25" t="s">
        <v>621</v>
      </c>
      <c r="I145" s="25" t="s">
        <v>622</v>
      </c>
      <c r="J145" s="25" t="s">
        <v>38</v>
      </c>
      <c r="K145" s="25">
        <v>60</v>
      </c>
      <c r="L145" s="25"/>
      <c r="M145" s="25" t="s">
        <v>58</v>
      </c>
      <c r="N145" s="23" t="s">
        <v>55</v>
      </c>
      <c r="O145" s="23" t="s">
        <v>59</v>
      </c>
      <c r="P145" s="23" t="s">
        <v>60</v>
      </c>
      <c r="Q145" s="23">
        <v>3</v>
      </c>
      <c r="R145" s="23" t="s">
        <v>61</v>
      </c>
      <c r="S145" s="23">
        <v>80</v>
      </c>
      <c r="T145" s="23">
        <v>85</v>
      </c>
      <c r="U145" s="23" t="s">
        <v>58</v>
      </c>
      <c r="V145" s="23" t="s">
        <v>62</v>
      </c>
      <c r="W145" s="23"/>
      <c r="X145" s="23" t="e">
        <f>IF(COUNTIF(#REF!,_xlfn.TEXTJOIN(".",,C145,F145,H145)),"是","否")</f>
        <v>#REF!</v>
      </c>
      <c r="Y145" s="23" t="e">
        <f t="shared" si="58"/>
        <v>#REF!</v>
      </c>
      <c r="Z145" s="23" t="s">
        <v>55</v>
      </c>
      <c r="AA145" s="27" t="s">
        <v>55</v>
      </c>
      <c r="AB145" s="27" t="s">
        <v>60</v>
      </c>
      <c r="AC145" s="27">
        <v>3</v>
      </c>
      <c r="AD145" s="27" t="s">
        <v>61</v>
      </c>
      <c r="AE145" s="27">
        <v>80</v>
      </c>
      <c r="AF145" s="27">
        <v>85</v>
      </c>
      <c r="AG145" s="27"/>
      <c r="AH145" s="27" t="s">
        <v>58</v>
      </c>
      <c r="AI145" s="27" t="s">
        <v>62</v>
      </c>
      <c r="AJ145" s="1" t="str">
        <f t="shared" si="59"/>
        <v>SYS.DMS.rabbitmq_instance_id,rabbitmq_node.rabbitmq_disk_usage</v>
      </c>
      <c r="AK145" s="1" t="s">
        <v>152</v>
      </c>
      <c r="AL145" s="1"/>
    </row>
    <row r="146" spans="1:38" ht="46" hidden="1" x14ac:dyDescent="0.25">
      <c r="A146" s="24">
        <f t="shared" si="57"/>
        <v>145</v>
      </c>
      <c r="B146" s="25" t="s">
        <v>538</v>
      </c>
      <c r="C146" s="25" t="s">
        <v>539</v>
      </c>
      <c r="D146" s="25" t="s">
        <v>540</v>
      </c>
      <c r="E146" s="25" t="s">
        <v>613</v>
      </c>
      <c r="F146" s="25" t="s">
        <v>614</v>
      </c>
      <c r="G146" s="25" t="s">
        <v>72</v>
      </c>
      <c r="H146" s="25" t="s">
        <v>623</v>
      </c>
      <c r="I146" s="25" t="s">
        <v>624</v>
      </c>
      <c r="J146" s="25" t="s">
        <v>38</v>
      </c>
      <c r="K146" s="25">
        <v>60</v>
      </c>
      <c r="L146" s="25"/>
      <c r="M146" s="25" t="s">
        <v>58</v>
      </c>
      <c r="N146" s="23" t="s">
        <v>55</v>
      </c>
      <c r="O146" s="23" t="s">
        <v>59</v>
      </c>
      <c r="P146" s="23" t="s">
        <v>60</v>
      </c>
      <c r="Q146" s="23">
        <v>3</v>
      </c>
      <c r="R146" s="23"/>
      <c r="S146" s="23" t="s">
        <v>625</v>
      </c>
      <c r="T146" s="34" t="s">
        <v>626</v>
      </c>
      <c r="U146" s="23" t="s">
        <v>58</v>
      </c>
      <c r="V146" s="23" t="s">
        <v>62</v>
      </c>
      <c r="W146" s="23"/>
      <c r="X146" s="23" t="e">
        <f>IF(COUNTIF(#REF!,_xlfn.TEXTJOIN(".",,C146,F146,H146)),"是","否")</f>
        <v>#REF!</v>
      </c>
      <c r="Y146" s="23" t="e">
        <f t="shared" si="58"/>
        <v>#REF!</v>
      </c>
      <c r="Z146" s="23" t="s">
        <v>55</v>
      </c>
      <c r="AA146" s="27" t="s">
        <v>55</v>
      </c>
      <c r="AB146" s="27" t="s">
        <v>60</v>
      </c>
      <c r="AC146" s="27">
        <v>3</v>
      </c>
      <c r="AD146" s="27"/>
      <c r="AE146" s="27" t="s">
        <v>625</v>
      </c>
      <c r="AF146" s="27" t="s">
        <v>626</v>
      </c>
      <c r="AG146" s="27"/>
      <c r="AH146" s="27"/>
      <c r="AI146" s="27" t="s">
        <v>62</v>
      </c>
      <c r="AJ146" s="1" t="str">
        <f t="shared" si="59"/>
        <v>SYS.DMS.rabbitmq_instance_id,rabbitmq_node.rabbitmq_cpu_usage</v>
      </c>
      <c r="AK146" s="1" t="s">
        <v>152</v>
      </c>
      <c r="AL146" s="1"/>
    </row>
    <row r="147" spans="1:38" hidden="1" x14ac:dyDescent="0.25">
      <c r="A147" s="24">
        <f t="shared" si="57"/>
        <v>146</v>
      </c>
      <c r="B147" s="25" t="s">
        <v>538</v>
      </c>
      <c r="C147" s="25" t="s">
        <v>539</v>
      </c>
      <c r="D147" s="25" t="s">
        <v>540</v>
      </c>
      <c r="E147" s="25" t="s">
        <v>613</v>
      </c>
      <c r="F147" s="25" t="s">
        <v>614</v>
      </c>
      <c r="G147" s="25" t="s">
        <v>76</v>
      </c>
      <c r="H147" s="25" t="s">
        <v>627</v>
      </c>
      <c r="I147" s="25" t="s">
        <v>628</v>
      </c>
      <c r="J147" s="25" t="s">
        <v>38</v>
      </c>
      <c r="K147" s="25">
        <v>60</v>
      </c>
      <c r="L147" s="25"/>
      <c r="M147" s="25" t="s">
        <v>58</v>
      </c>
      <c r="N147" s="23" t="s">
        <v>55</v>
      </c>
      <c r="O147" s="23" t="s">
        <v>59</v>
      </c>
      <c r="P147" s="23" t="s">
        <v>60</v>
      </c>
      <c r="Q147" s="23">
        <v>3</v>
      </c>
      <c r="R147" s="23" t="s">
        <v>61</v>
      </c>
      <c r="S147" s="23"/>
      <c r="T147" s="23">
        <v>30</v>
      </c>
      <c r="U147" s="23" t="s">
        <v>58</v>
      </c>
      <c r="V147" s="23" t="s">
        <v>62</v>
      </c>
      <c r="W147" s="23"/>
      <c r="X147" s="23" t="e">
        <f>IF(COUNTIF(#REF!,_xlfn.TEXTJOIN(".",,C147,F147,H147)),"是","否")</f>
        <v>#REF!</v>
      </c>
      <c r="Y147" s="23" t="e">
        <f t="shared" si="58"/>
        <v>#REF!</v>
      </c>
      <c r="Z147" s="23" t="s">
        <v>55</v>
      </c>
      <c r="AA147" s="27" t="s">
        <v>55</v>
      </c>
      <c r="AB147" s="27" t="s">
        <v>60</v>
      </c>
      <c r="AC147" s="27">
        <v>3</v>
      </c>
      <c r="AD147" s="27" t="s">
        <v>61</v>
      </c>
      <c r="AE147" s="27"/>
      <c r="AF147" s="27">
        <v>30</v>
      </c>
      <c r="AG147" s="27" t="s">
        <v>629</v>
      </c>
      <c r="AH147" s="27" t="s">
        <v>58</v>
      </c>
      <c r="AI147" s="27" t="s">
        <v>62</v>
      </c>
      <c r="AJ147" s="1" t="str">
        <f t="shared" si="59"/>
        <v>SYS.DMS.rabbitmq_instance_id,rabbitmq_node.rabbitmq_memory_usage</v>
      </c>
      <c r="AK147" s="1" t="s">
        <v>152</v>
      </c>
      <c r="AL147" s="1"/>
    </row>
    <row r="148" spans="1:38" hidden="1" x14ac:dyDescent="0.25">
      <c r="A148" s="24">
        <f t="shared" si="57"/>
        <v>147</v>
      </c>
      <c r="B148" s="25" t="s">
        <v>538</v>
      </c>
      <c r="C148" s="25" t="s">
        <v>539</v>
      </c>
      <c r="D148" s="25" t="s">
        <v>540</v>
      </c>
      <c r="E148" s="25" t="s">
        <v>613</v>
      </c>
      <c r="F148" s="25" t="s">
        <v>614</v>
      </c>
      <c r="G148" s="25" t="s">
        <v>630</v>
      </c>
      <c r="H148" s="25" t="s">
        <v>631</v>
      </c>
      <c r="I148" s="25" t="s">
        <v>632</v>
      </c>
      <c r="J148" s="25" t="s">
        <v>38</v>
      </c>
      <c r="K148" s="25">
        <v>60</v>
      </c>
      <c r="L148" s="25"/>
      <c r="M148" s="25"/>
      <c r="N148" s="23" t="s">
        <v>55</v>
      </c>
      <c r="O148" s="23" t="s">
        <v>59</v>
      </c>
      <c r="P148" s="23" t="s">
        <v>60</v>
      </c>
      <c r="Q148" s="23">
        <v>1</v>
      </c>
      <c r="R148" s="23" t="s">
        <v>61</v>
      </c>
      <c r="S148" s="23"/>
      <c r="T148" s="23">
        <v>0</v>
      </c>
      <c r="U148" s="23" t="s">
        <v>571</v>
      </c>
      <c r="V148" s="23" t="s">
        <v>62</v>
      </c>
      <c r="W148" s="23"/>
      <c r="X148" s="23" t="e">
        <f>IF(COUNTIF(#REF!,_xlfn.TEXTJOIN(".",,C148,F148,H148)),"是","否")</f>
        <v>#REF!</v>
      </c>
      <c r="Y148" s="23" t="e">
        <f t="shared" si="58"/>
        <v>#REF!</v>
      </c>
      <c r="Z148" s="23" t="s">
        <v>55</v>
      </c>
      <c r="AA148" s="27" t="s">
        <v>55</v>
      </c>
      <c r="AB148" s="27" t="s">
        <v>60</v>
      </c>
      <c r="AC148" s="27">
        <v>1</v>
      </c>
      <c r="AD148" s="27" t="s">
        <v>61</v>
      </c>
      <c r="AE148" s="27"/>
      <c r="AF148" s="27">
        <v>0</v>
      </c>
      <c r="AG148" s="27"/>
      <c r="AH148" s="27"/>
      <c r="AI148" s="27" t="s">
        <v>62</v>
      </c>
      <c r="AJ148" s="1" t="str">
        <f t="shared" si="59"/>
        <v>SYS.DMS.rabbitmq_instance_id,rabbitmq_node.rabbitmq_memory_high_watermark</v>
      </c>
      <c r="AK148" s="1" t="s">
        <v>152</v>
      </c>
      <c r="AL148" s="1"/>
    </row>
    <row r="149" spans="1:38" hidden="1" x14ac:dyDescent="0.25">
      <c r="A149" s="24">
        <f t="shared" si="57"/>
        <v>148</v>
      </c>
      <c r="B149" s="25" t="s">
        <v>538</v>
      </c>
      <c r="C149" s="25" t="s">
        <v>539</v>
      </c>
      <c r="D149" s="25" t="s">
        <v>540</v>
      </c>
      <c r="E149" s="25" t="s">
        <v>613</v>
      </c>
      <c r="F149" s="25" t="s">
        <v>614</v>
      </c>
      <c r="G149" s="25" t="s">
        <v>633</v>
      </c>
      <c r="H149" s="25" t="s">
        <v>634</v>
      </c>
      <c r="I149" s="25" t="s">
        <v>635</v>
      </c>
      <c r="J149" s="25" t="s">
        <v>38</v>
      </c>
      <c r="K149" s="25">
        <v>60</v>
      </c>
      <c r="L149" s="25"/>
      <c r="M149" s="25"/>
      <c r="N149" s="23" t="s">
        <v>55</v>
      </c>
      <c r="O149" s="23" t="s">
        <v>59</v>
      </c>
      <c r="P149" s="23" t="s">
        <v>60</v>
      </c>
      <c r="Q149" s="23">
        <v>1</v>
      </c>
      <c r="R149" s="23" t="s">
        <v>61</v>
      </c>
      <c r="S149" s="23"/>
      <c r="T149" s="23">
        <v>0</v>
      </c>
      <c r="U149" s="23" t="s">
        <v>571</v>
      </c>
      <c r="V149" s="23" t="s">
        <v>62</v>
      </c>
      <c r="W149" s="23"/>
      <c r="X149" s="23" t="e">
        <f>IF(COUNTIF(#REF!,_xlfn.TEXTJOIN(".",,C149,F149,H149)),"是","否")</f>
        <v>#REF!</v>
      </c>
      <c r="Y149" s="23" t="e">
        <f t="shared" si="58"/>
        <v>#REF!</v>
      </c>
      <c r="Z149" s="23" t="s">
        <v>55</v>
      </c>
      <c r="AA149" s="27" t="s">
        <v>55</v>
      </c>
      <c r="AB149" s="27" t="s">
        <v>60</v>
      </c>
      <c r="AC149" s="27">
        <v>1</v>
      </c>
      <c r="AD149" s="27" t="s">
        <v>61</v>
      </c>
      <c r="AE149" s="27"/>
      <c r="AF149" s="27">
        <v>0</v>
      </c>
      <c r="AG149" s="27"/>
      <c r="AH149" s="27"/>
      <c r="AI149" s="27" t="s">
        <v>62</v>
      </c>
      <c r="AJ149" s="1" t="str">
        <f t="shared" si="59"/>
        <v>SYS.DMS.rabbitmq_instance_id,rabbitmq_node.rabbitmq_disk_insufficient</v>
      </c>
      <c r="AK149" s="1" t="s">
        <v>152</v>
      </c>
      <c r="AL149" s="1"/>
    </row>
    <row r="150" spans="1:38" hidden="1" x14ac:dyDescent="0.25">
      <c r="A150" s="24">
        <f t="shared" si="57"/>
        <v>149</v>
      </c>
      <c r="B150" s="25" t="s">
        <v>538</v>
      </c>
      <c r="C150" s="25" t="s">
        <v>539</v>
      </c>
      <c r="D150" s="25" t="s">
        <v>540</v>
      </c>
      <c r="E150" s="25" t="s">
        <v>613</v>
      </c>
      <c r="F150" s="25" t="s">
        <v>614</v>
      </c>
      <c r="G150" s="25" t="s">
        <v>174</v>
      </c>
      <c r="H150" s="25" t="s">
        <v>636</v>
      </c>
      <c r="I150" s="25" t="s">
        <v>637</v>
      </c>
      <c r="J150" s="25" t="s">
        <v>38</v>
      </c>
      <c r="K150" s="25">
        <v>60</v>
      </c>
      <c r="L150" s="25" t="s">
        <v>39</v>
      </c>
      <c r="M150" s="25" t="s">
        <v>58</v>
      </c>
      <c r="N150" s="23" t="s">
        <v>55</v>
      </c>
      <c r="O150" s="23" t="s">
        <v>59</v>
      </c>
      <c r="P150" s="23" t="s">
        <v>60</v>
      </c>
      <c r="Q150" s="23">
        <v>1</v>
      </c>
      <c r="R150" s="23" t="s">
        <v>61</v>
      </c>
      <c r="S150" s="23"/>
      <c r="T150" s="23">
        <v>80</v>
      </c>
      <c r="U150" s="23" t="s">
        <v>58</v>
      </c>
      <c r="V150" s="23" t="s">
        <v>62</v>
      </c>
      <c r="W150" s="23"/>
      <c r="X150" s="23" t="e">
        <f>IF(COUNTIF(#REF!,_xlfn.TEXTJOIN(".",,C150,F150,H150)),"是","否")</f>
        <v>#REF!</v>
      </c>
      <c r="Y150" s="23" t="e">
        <f t="shared" si="58"/>
        <v>#REF!</v>
      </c>
      <c r="Z150" s="23" t="s">
        <v>55</v>
      </c>
      <c r="AA150" s="23"/>
      <c r="AB150" s="23"/>
      <c r="AC150" s="23"/>
      <c r="AD150" s="23"/>
      <c r="AE150" s="23"/>
      <c r="AF150" s="23"/>
      <c r="AG150" s="23"/>
      <c r="AH150" s="23"/>
      <c r="AI150" s="23"/>
      <c r="AJ150" s="1" t="str">
        <f t="shared" si="59"/>
        <v>SYS.DMS.rabbitmq_instance_id,rabbitmq_node.connections_usage</v>
      </c>
      <c r="AK150" s="1" t="s">
        <v>152</v>
      </c>
      <c r="AL150" s="1"/>
    </row>
    <row r="151" spans="1:38" hidden="1" x14ac:dyDescent="0.25">
      <c r="A151" s="24">
        <f t="shared" si="57"/>
        <v>150</v>
      </c>
      <c r="B151" s="25" t="s">
        <v>538</v>
      </c>
      <c r="C151" s="25" t="s">
        <v>539</v>
      </c>
      <c r="D151" s="25" t="s">
        <v>540</v>
      </c>
      <c r="E151" s="25" t="s">
        <v>640</v>
      </c>
      <c r="F151" s="25" t="s">
        <v>641</v>
      </c>
      <c r="G151" s="25" t="s">
        <v>537</v>
      </c>
      <c r="H151" s="25" t="s">
        <v>645</v>
      </c>
      <c r="I151" s="25" t="s">
        <v>646</v>
      </c>
      <c r="J151" s="25" t="s">
        <v>38</v>
      </c>
      <c r="K151" s="25">
        <v>60</v>
      </c>
      <c r="L151" s="25" t="s">
        <v>39</v>
      </c>
      <c r="M151" s="25" t="s">
        <v>83</v>
      </c>
      <c r="N151" s="23" t="s">
        <v>55</v>
      </c>
      <c r="O151" s="23" t="s">
        <v>59</v>
      </c>
      <c r="P151" s="23" t="s">
        <v>60</v>
      </c>
      <c r="Q151" s="23">
        <v>1</v>
      </c>
      <c r="R151" s="23" t="s">
        <v>61</v>
      </c>
      <c r="S151" s="23">
        <v>10000</v>
      </c>
      <c r="T151" s="23" t="s">
        <v>647</v>
      </c>
      <c r="U151" s="23" t="s">
        <v>83</v>
      </c>
      <c r="V151" s="23" t="s">
        <v>62</v>
      </c>
      <c r="W151" s="23"/>
      <c r="X151" s="23" t="e">
        <f>IF(COUNTIF(#REF!,_xlfn.TEXTJOIN(".",,C151,F151,H151)),"是","否")</f>
        <v>#REF!</v>
      </c>
      <c r="Y151" s="23" t="e">
        <f t="shared" si="58"/>
        <v>#REF!</v>
      </c>
      <c r="Z151" s="23" t="s">
        <v>55</v>
      </c>
      <c r="AA151" s="27" t="s">
        <v>55</v>
      </c>
      <c r="AB151" s="27" t="s">
        <v>60</v>
      </c>
      <c r="AC151" s="27">
        <v>1</v>
      </c>
      <c r="AD151" s="27" t="s">
        <v>61</v>
      </c>
      <c r="AE151" s="27">
        <v>10000</v>
      </c>
      <c r="AF151" s="27"/>
      <c r="AG151" s="27" t="s">
        <v>550</v>
      </c>
      <c r="AH151" s="27"/>
      <c r="AI151" s="27" t="s">
        <v>62</v>
      </c>
      <c r="AJ151" s="1" t="str">
        <f t="shared" si="59"/>
        <v>SYS.DMS.reliablemq_instance_id.instance_accumulation</v>
      </c>
      <c r="AK151" s="1" t="s">
        <v>302</v>
      </c>
      <c r="AL151" s="1"/>
    </row>
    <row r="152" spans="1:38" hidden="1" x14ac:dyDescent="0.25">
      <c r="A152" s="24">
        <f t="shared" si="57"/>
        <v>151</v>
      </c>
      <c r="B152" s="25" t="s">
        <v>538</v>
      </c>
      <c r="C152" s="25" t="s">
        <v>539</v>
      </c>
      <c r="D152" s="25" t="s">
        <v>540</v>
      </c>
      <c r="E152" s="25" t="s">
        <v>640</v>
      </c>
      <c r="F152" s="25" t="s">
        <v>641</v>
      </c>
      <c r="G152" s="25" t="s">
        <v>554</v>
      </c>
      <c r="H152" s="25" t="s">
        <v>555</v>
      </c>
      <c r="I152" s="25" t="s">
        <v>556</v>
      </c>
      <c r="J152" s="25" t="s">
        <v>38</v>
      </c>
      <c r="K152" s="25">
        <v>60</v>
      </c>
      <c r="L152" s="25" t="s">
        <v>39</v>
      </c>
      <c r="M152" s="25" t="s">
        <v>58</v>
      </c>
      <c r="N152" s="23" t="s">
        <v>55</v>
      </c>
      <c r="O152" s="23" t="s">
        <v>59</v>
      </c>
      <c r="P152" s="26" t="s">
        <v>60</v>
      </c>
      <c r="Q152" s="26">
        <v>3</v>
      </c>
      <c r="R152" s="26" t="s">
        <v>61</v>
      </c>
      <c r="S152" s="26">
        <v>80</v>
      </c>
      <c r="T152" s="26">
        <v>90</v>
      </c>
      <c r="U152" s="22" t="s">
        <v>58</v>
      </c>
      <c r="V152" s="23" t="s">
        <v>62</v>
      </c>
      <c r="W152" s="23"/>
      <c r="X152" s="23" t="e">
        <f>IF(COUNTIF(#REF!,_xlfn.TEXTJOIN(".",,C152,F152,H152)),"是","否")</f>
        <v>#REF!</v>
      </c>
      <c r="Y152" s="23" t="e">
        <f t="shared" si="58"/>
        <v>#REF!</v>
      </c>
      <c r="Z152" s="23" t="s">
        <v>55</v>
      </c>
      <c r="AA152" s="23"/>
      <c r="AB152" s="23"/>
      <c r="AC152" s="23"/>
      <c r="AD152" s="23"/>
      <c r="AE152" s="23"/>
      <c r="AF152" s="23"/>
      <c r="AG152" s="23"/>
      <c r="AH152" s="23"/>
      <c r="AI152" s="23"/>
      <c r="AJ152" s="1" t="str">
        <f t="shared" si="59"/>
        <v>SYS.DMS.reliablemq_instance_id.instance_disk_usage</v>
      </c>
      <c r="AK152" s="1" t="s">
        <v>152</v>
      </c>
      <c r="AL152" s="1"/>
    </row>
    <row r="153" spans="1:38" hidden="1" x14ac:dyDescent="0.25">
      <c r="A153" s="24">
        <f t="shared" ref="A153:A159" si="60">ROW()-1</f>
        <v>152</v>
      </c>
      <c r="B153" s="25" t="s">
        <v>538</v>
      </c>
      <c r="C153" s="25" t="s">
        <v>539</v>
      </c>
      <c r="D153" s="25" t="s">
        <v>540</v>
      </c>
      <c r="E153" s="25" t="s">
        <v>640</v>
      </c>
      <c r="F153" s="25" t="s">
        <v>641</v>
      </c>
      <c r="G153" s="25" t="s">
        <v>648</v>
      </c>
      <c r="H153" s="25" t="s">
        <v>649</v>
      </c>
      <c r="I153" s="25" t="s">
        <v>650</v>
      </c>
      <c r="J153" s="25" t="s">
        <v>38</v>
      </c>
      <c r="K153" s="25">
        <v>60</v>
      </c>
      <c r="L153" s="25" t="s">
        <v>45</v>
      </c>
      <c r="M153" s="25" t="s">
        <v>43</v>
      </c>
      <c r="N153" s="23" t="s">
        <v>55</v>
      </c>
      <c r="O153" s="23" t="s">
        <v>59</v>
      </c>
      <c r="P153" s="23" t="s">
        <v>60</v>
      </c>
      <c r="Q153" s="23">
        <v>1</v>
      </c>
      <c r="R153" s="23" t="s">
        <v>240</v>
      </c>
      <c r="S153" s="23"/>
      <c r="T153" s="23">
        <v>1</v>
      </c>
      <c r="U153" s="23" t="s">
        <v>43</v>
      </c>
      <c r="V153" s="23" t="s">
        <v>62</v>
      </c>
      <c r="W153" s="23"/>
      <c r="X153" s="23" t="e">
        <f>IF(COUNTIF(#REF!,_xlfn.TEXTJOIN(".",,C153,F153,H153)),"是","否")</f>
        <v>#REF!</v>
      </c>
      <c r="Y153" s="23" t="e">
        <f t="shared" ref="Y153:Y159" si="61">IF(AND(O153="底线指标",X153="是"),"是","否")</f>
        <v>#REF!</v>
      </c>
      <c r="Z153" s="23" t="s">
        <v>55</v>
      </c>
      <c r="AA153" s="23"/>
      <c r="AB153" s="23"/>
      <c r="AC153" s="23"/>
      <c r="AD153" s="23"/>
      <c r="AE153" s="23"/>
      <c r="AF153" s="23"/>
      <c r="AG153" s="23"/>
      <c r="AH153" s="23"/>
      <c r="AI153" s="23"/>
      <c r="AJ153" s="1" t="str">
        <f t="shared" ref="AJ153:AJ159" si="62">_xlfn.TEXTJOIN(".",TRUE,C153,F153,H153)</f>
        <v>SYS.DMS.reliablemq_instance_id.instance_produce_ratelimit_times</v>
      </c>
      <c r="AK153" s="1" t="s">
        <v>152</v>
      </c>
      <c r="AL153" s="1"/>
    </row>
    <row r="154" spans="1:38" hidden="1" x14ac:dyDescent="0.25">
      <c r="A154" s="24">
        <f t="shared" si="60"/>
        <v>153</v>
      </c>
      <c r="B154" s="25" t="s">
        <v>538</v>
      </c>
      <c r="C154" s="25" t="s">
        <v>539</v>
      </c>
      <c r="D154" s="25" t="s">
        <v>540</v>
      </c>
      <c r="E154" s="25" t="s">
        <v>651</v>
      </c>
      <c r="F154" s="25" t="s">
        <v>652</v>
      </c>
      <c r="G154" s="25" t="s">
        <v>610</v>
      </c>
      <c r="H154" s="25" t="s">
        <v>653</v>
      </c>
      <c r="I154" s="25" t="s">
        <v>654</v>
      </c>
      <c r="J154" s="25" t="s">
        <v>38</v>
      </c>
      <c r="K154" s="25">
        <v>60</v>
      </c>
      <c r="L154" s="25" t="s">
        <v>177</v>
      </c>
      <c r="M154" s="25" t="s">
        <v>83</v>
      </c>
      <c r="N154" s="23" t="s">
        <v>55</v>
      </c>
      <c r="O154" s="23" t="s">
        <v>59</v>
      </c>
      <c r="P154" s="23" t="s">
        <v>60</v>
      </c>
      <c r="Q154" s="23">
        <v>1</v>
      </c>
      <c r="R154" s="23" t="s">
        <v>61</v>
      </c>
      <c r="S154" s="23">
        <v>10000</v>
      </c>
      <c r="T154" s="23"/>
      <c r="U154" s="23" t="s">
        <v>83</v>
      </c>
      <c r="V154" s="23" t="s">
        <v>62</v>
      </c>
      <c r="W154" s="23"/>
      <c r="X154" s="23" t="e">
        <f>IF(COUNTIF(#REF!,_xlfn.TEXTJOIN(".",,C154,F154,H154)),"是","否")</f>
        <v>#REF!</v>
      </c>
      <c r="Y154" s="23" t="e">
        <f t="shared" si="61"/>
        <v>#REF!</v>
      </c>
      <c r="Z154" s="23" t="s">
        <v>55</v>
      </c>
      <c r="AA154" s="27" t="s">
        <v>55</v>
      </c>
      <c r="AB154" s="27" t="s">
        <v>60</v>
      </c>
      <c r="AC154" s="27">
        <v>1</v>
      </c>
      <c r="AD154" s="27" t="s">
        <v>61</v>
      </c>
      <c r="AE154" s="27">
        <v>10000</v>
      </c>
      <c r="AF154" s="27"/>
      <c r="AG154" s="27" t="s">
        <v>550</v>
      </c>
      <c r="AH154" s="27"/>
      <c r="AI154" s="27" t="s">
        <v>62</v>
      </c>
      <c r="AJ154" s="1" t="str">
        <f t="shared" si="62"/>
        <v>SYS.DMS.reliablemq_instance_id,reliablemq_groups.group_accumulation</v>
      </c>
      <c r="AK154" s="1" t="s">
        <v>302</v>
      </c>
      <c r="AL154" s="1"/>
    </row>
    <row r="155" spans="1:38" hidden="1" x14ac:dyDescent="0.25">
      <c r="A155" s="24">
        <f t="shared" si="60"/>
        <v>154</v>
      </c>
      <c r="B155" s="25" t="s">
        <v>538</v>
      </c>
      <c r="C155" s="25" t="s">
        <v>539</v>
      </c>
      <c r="D155" s="25" t="s">
        <v>540</v>
      </c>
      <c r="E155" s="25" t="s">
        <v>655</v>
      </c>
      <c r="F155" s="25" t="s">
        <v>656</v>
      </c>
      <c r="G155" s="25" t="s">
        <v>432</v>
      </c>
      <c r="H155" s="25" t="s">
        <v>433</v>
      </c>
      <c r="I155" s="25" t="s">
        <v>657</v>
      </c>
      <c r="J155" s="25" t="s">
        <v>38</v>
      </c>
      <c r="K155" s="25">
        <v>60</v>
      </c>
      <c r="L155" s="25" t="s">
        <v>45</v>
      </c>
      <c r="M155" s="25"/>
      <c r="N155" s="23" t="s">
        <v>55</v>
      </c>
      <c r="O155" s="23" t="s">
        <v>59</v>
      </c>
      <c r="P155" s="23" t="s">
        <v>60</v>
      </c>
      <c r="Q155" s="23">
        <v>1</v>
      </c>
      <c r="R155" s="23" t="s">
        <v>136</v>
      </c>
      <c r="S155" s="23">
        <v>0</v>
      </c>
      <c r="T155" s="23"/>
      <c r="U155" s="23" t="s">
        <v>571</v>
      </c>
      <c r="V155" s="23" t="s">
        <v>62</v>
      </c>
      <c r="W155" s="23"/>
      <c r="X155" s="23" t="e">
        <f>IF(COUNTIF(#REF!,_xlfn.TEXTJOIN(".",,C155,F155,H155)),"是","否")</f>
        <v>#REF!</v>
      </c>
      <c r="Y155" s="23" t="e">
        <f t="shared" si="61"/>
        <v>#REF!</v>
      </c>
      <c r="Z155" s="23" t="s">
        <v>55</v>
      </c>
      <c r="AA155" s="27" t="s">
        <v>55</v>
      </c>
      <c r="AB155" s="27" t="s">
        <v>60</v>
      </c>
      <c r="AC155" s="27">
        <v>1</v>
      </c>
      <c r="AD155" s="27" t="s">
        <v>136</v>
      </c>
      <c r="AE155" s="27">
        <v>0</v>
      </c>
      <c r="AF155" s="27"/>
      <c r="AG155" s="27"/>
      <c r="AH155" s="27"/>
      <c r="AI155" s="27" t="s">
        <v>62</v>
      </c>
      <c r="AJ155" s="1" t="str">
        <f t="shared" si="62"/>
        <v>SYS.DMS.kafka_instance_id,connector_task.task_status</v>
      </c>
      <c r="AK155" s="1" t="s">
        <v>302</v>
      </c>
      <c r="AL155" s="1"/>
    </row>
    <row r="156" spans="1:38" hidden="1" x14ac:dyDescent="0.25">
      <c r="A156" s="24">
        <f t="shared" si="60"/>
        <v>155</v>
      </c>
      <c r="B156" s="25" t="s">
        <v>538</v>
      </c>
      <c r="C156" s="25" t="s">
        <v>539</v>
      </c>
      <c r="D156" s="25" t="s">
        <v>540</v>
      </c>
      <c r="E156" s="25" t="s">
        <v>655</v>
      </c>
      <c r="F156" s="25" t="s">
        <v>656</v>
      </c>
      <c r="G156" s="25" t="s">
        <v>658</v>
      </c>
      <c r="H156" s="25" t="s">
        <v>659</v>
      </c>
      <c r="I156" s="25" t="s">
        <v>660</v>
      </c>
      <c r="J156" s="25" t="s">
        <v>38</v>
      </c>
      <c r="K156" s="25">
        <v>60</v>
      </c>
      <c r="L156" s="25" t="s">
        <v>45</v>
      </c>
      <c r="M156" s="25" t="s">
        <v>44</v>
      </c>
      <c r="N156" s="23" t="s">
        <v>55</v>
      </c>
      <c r="O156" s="23" t="s">
        <v>59</v>
      </c>
      <c r="P156" s="23" t="s">
        <v>60</v>
      </c>
      <c r="Q156" s="23">
        <v>3</v>
      </c>
      <c r="R156" s="23" t="s">
        <v>61</v>
      </c>
      <c r="S156" s="23">
        <v>1000</v>
      </c>
      <c r="T156" s="23"/>
      <c r="U156" s="23" t="s">
        <v>44</v>
      </c>
      <c r="V156" s="23" t="s">
        <v>62</v>
      </c>
      <c r="W156" s="23"/>
      <c r="X156" s="23" t="e">
        <f>IF(COUNTIF(#REF!,_xlfn.TEXTJOIN(".",,C156,F156,H156)),"是","否")</f>
        <v>#REF!</v>
      </c>
      <c r="Y156" s="23" t="e">
        <f t="shared" si="61"/>
        <v>#REF!</v>
      </c>
      <c r="Z156" s="23" t="s">
        <v>55</v>
      </c>
      <c r="AA156" s="23"/>
      <c r="AB156" s="23"/>
      <c r="AC156" s="23"/>
      <c r="AD156" s="23"/>
      <c r="AE156" s="23"/>
      <c r="AF156" s="23"/>
      <c r="AG156" s="23"/>
      <c r="AH156" s="23"/>
      <c r="AI156" s="23"/>
      <c r="AJ156" s="1" t="str">
        <f t="shared" si="62"/>
        <v>SYS.DMS.kafka_instance_id,connector_task.message_delay</v>
      </c>
      <c r="AK156" s="1" t="s">
        <v>302</v>
      </c>
      <c r="AL156" s="1"/>
    </row>
    <row r="157" spans="1:38" hidden="1" x14ac:dyDescent="0.25">
      <c r="A157" s="24">
        <f t="shared" si="60"/>
        <v>156</v>
      </c>
      <c r="B157" s="25" t="s">
        <v>538</v>
      </c>
      <c r="C157" s="25" t="s">
        <v>539</v>
      </c>
      <c r="D157" s="25" t="s">
        <v>540</v>
      </c>
      <c r="E157" s="25" t="s">
        <v>661</v>
      </c>
      <c r="F157" s="25" t="s">
        <v>662</v>
      </c>
      <c r="G157" s="25" t="s">
        <v>663</v>
      </c>
      <c r="H157" s="25" t="s">
        <v>664</v>
      </c>
      <c r="I157" s="25" t="s">
        <v>665</v>
      </c>
      <c r="J157" s="25" t="s">
        <v>38</v>
      </c>
      <c r="K157" s="25">
        <v>60</v>
      </c>
      <c r="L157" s="25"/>
      <c r="M157" s="25" t="s">
        <v>83</v>
      </c>
      <c r="N157" s="23" t="s">
        <v>55</v>
      </c>
      <c r="O157" s="23" t="s">
        <v>59</v>
      </c>
      <c r="P157" s="23" t="s">
        <v>60</v>
      </c>
      <c r="Q157" s="23">
        <v>3</v>
      </c>
      <c r="R157" s="23" t="s">
        <v>61</v>
      </c>
      <c r="S157" s="28">
        <v>90</v>
      </c>
      <c r="T157" s="23"/>
      <c r="U157" s="23" t="s">
        <v>83</v>
      </c>
      <c r="V157" s="23" t="s">
        <v>62</v>
      </c>
      <c r="W157" s="23"/>
      <c r="X157" s="23" t="e">
        <f>IF(COUNTIF(#REF!,_xlfn.TEXTJOIN(".",,C157,F157,H157)),"是","否")</f>
        <v>#REF!</v>
      </c>
      <c r="Y157" s="23" t="e">
        <f t="shared" si="61"/>
        <v>#REF!</v>
      </c>
      <c r="Z157" s="23" t="s">
        <v>55</v>
      </c>
      <c r="AA157" s="27" t="s">
        <v>55</v>
      </c>
      <c r="AB157" s="27" t="s">
        <v>60</v>
      </c>
      <c r="AC157" s="27">
        <v>3</v>
      </c>
      <c r="AD157" s="27" t="s">
        <v>61</v>
      </c>
      <c r="AE157" s="27">
        <v>90</v>
      </c>
      <c r="AF157" s="27"/>
      <c r="AG157" s="27" t="s">
        <v>666</v>
      </c>
      <c r="AH157" s="27"/>
      <c r="AI157" s="27" t="s">
        <v>62</v>
      </c>
      <c r="AJ157" s="1" t="str">
        <f t="shared" si="62"/>
        <v>SYS.DMS.kafka_instance_id.current_partitions</v>
      </c>
      <c r="AK157" s="1" t="s">
        <v>152</v>
      </c>
      <c r="AL157" s="1"/>
    </row>
    <row r="158" spans="1:38" hidden="1" x14ac:dyDescent="0.25">
      <c r="A158" s="24">
        <f t="shared" si="60"/>
        <v>157</v>
      </c>
      <c r="B158" s="25" t="s">
        <v>538</v>
      </c>
      <c r="C158" s="25" t="s">
        <v>539</v>
      </c>
      <c r="D158" s="25" t="s">
        <v>540</v>
      </c>
      <c r="E158" s="25" t="s">
        <v>661</v>
      </c>
      <c r="F158" s="25" t="s">
        <v>662</v>
      </c>
      <c r="G158" s="25" t="s">
        <v>642</v>
      </c>
      <c r="H158" s="25" t="s">
        <v>643</v>
      </c>
      <c r="I158" s="22" t="s">
        <v>644</v>
      </c>
      <c r="J158" s="22" t="s">
        <v>38</v>
      </c>
      <c r="K158" s="22">
        <v>60</v>
      </c>
      <c r="L158" s="22"/>
      <c r="M158" s="22" t="s">
        <v>83</v>
      </c>
      <c r="N158" s="23" t="s">
        <v>55</v>
      </c>
      <c r="O158" s="23" t="s">
        <v>59</v>
      </c>
      <c r="P158" s="23" t="s">
        <v>60</v>
      </c>
      <c r="Q158" s="23">
        <v>3</v>
      </c>
      <c r="R158" s="23" t="s">
        <v>240</v>
      </c>
      <c r="S158" s="23">
        <v>90</v>
      </c>
      <c r="T158" s="23"/>
      <c r="U158" s="22" t="s">
        <v>83</v>
      </c>
      <c r="V158" s="23" t="s">
        <v>276</v>
      </c>
      <c r="W158" s="23"/>
      <c r="X158" s="23" t="e">
        <f>IF(COUNTIF(#REF!,_xlfn.TEXTJOIN(".",,C158,F158,H158)),"是","否")</f>
        <v>#REF!</v>
      </c>
      <c r="Y158" s="23" t="e">
        <f t="shared" si="61"/>
        <v>#REF!</v>
      </c>
      <c r="Z158" s="23"/>
      <c r="AA158" s="23"/>
      <c r="AB158" s="23"/>
      <c r="AC158" s="23"/>
      <c r="AD158" s="23"/>
      <c r="AE158" s="23"/>
      <c r="AF158" s="23"/>
      <c r="AG158" s="23"/>
      <c r="AH158" s="23"/>
      <c r="AI158" s="23"/>
      <c r="AJ158" s="1" t="str">
        <f t="shared" si="62"/>
        <v>SYS.DMS.kafka_instance_id.current_topics</v>
      </c>
      <c r="AK158" s="1"/>
      <c r="AL158" s="1"/>
    </row>
    <row r="159" spans="1:38" hidden="1" x14ac:dyDescent="0.25">
      <c r="A159" s="24">
        <f t="shared" si="60"/>
        <v>158</v>
      </c>
      <c r="B159" s="25" t="s">
        <v>538</v>
      </c>
      <c r="C159" s="25" t="s">
        <v>539</v>
      </c>
      <c r="D159" s="25" t="s">
        <v>540</v>
      </c>
      <c r="E159" s="25" t="s">
        <v>661</v>
      </c>
      <c r="F159" s="25" t="s">
        <v>662</v>
      </c>
      <c r="G159" s="25" t="s">
        <v>537</v>
      </c>
      <c r="H159" s="25" t="s">
        <v>667</v>
      </c>
      <c r="I159" s="25" t="s">
        <v>668</v>
      </c>
      <c r="J159" s="25" t="s">
        <v>38</v>
      </c>
      <c r="K159" s="25">
        <v>60</v>
      </c>
      <c r="L159" s="25"/>
      <c r="M159" s="25" t="s">
        <v>83</v>
      </c>
      <c r="N159" s="23" t="s">
        <v>55</v>
      </c>
      <c r="O159" s="23" t="s">
        <v>59</v>
      </c>
      <c r="P159" s="23" t="s">
        <v>60</v>
      </c>
      <c r="Q159" s="23">
        <v>1</v>
      </c>
      <c r="R159" s="23" t="s">
        <v>61</v>
      </c>
      <c r="S159" s="23">
        <v>10000</v>
      </c>
      <c r="T159" s="23"/>
      <c r="U159" s="23" t="s">
        <v>83</v>
      </c>
      <c r="V159" s="23" t="s">
        <v>62</v>
      </c>
      <c r="W159" s="23"/>
      <c r="X159" s="23" t="e">
        <f>IF(COUNTIF(#REF!,_xlfn.TEXTJOIN(".",,C159,F159,H159)),"是","否")</f>
        <v>#REF!</v>
      </c>
      <c r="Y159" s="23" t="e">
        <f t="shared" si="61"/>
        <v>#REF!</v>
      </c>
      <c r="Z159" s="23" t="s">
        <v>55</v>
      </c>
      <c r="AA159" s="27" t="s">
        <v>55</v>
      </c>
      <c r="AB159" s="27" t="s">
        <v>60</v>
      </c>
      <c r="AC159" s="27">
        <v>1</v>
      </c>
      <c r="AD159" s="27" t="s">
        <v>61</v>
      </c>
      <c r="AE159" s="27">
        <v>10000</v>
      </c>
      <c r="AF159" s="27"/>
      <c r="AG159" s="27" t="s">
        <v>550</v>
      </c>
      <c r="AH159" s="27"/>
      <c r="AI159" s="27" t="s">
        <v>62</v>
      </c>
      <c r="AJ159" s="1" t="str">
        <f t="shared" si="62"/>
        <v>SYS.DMS.kafka_instance_id.group_msgs</v>
      </c>
      <c r="AK159" s="1" t="s">
        <v>302</v>
      </c>
      <c r="AL159" s="1"/>
    </row>
    <row r="160" spans="1:38" hidden="1" x14ac:dyDescent="0.25">
      <c r="A160" s="24">
        <f t="shared" ref="A160:A171" si="63">ROW()-1</f>
        <v>159</v>
      </c>
      <c r="B160" s="25" t="s">
        <v>538</v>
      </c>
      <c r="C160" s="25" t="s">
        <v>539</v>
      </c>
      <c r="D160" s="25" t="s">
        <v>540</v>
      </c>
      <c r="E160" s="25" t="s">
        <v>670</v>
      </c>
      <c r="F160" s="25" t="s">
        <v>671</v>
      </c>
      <c r="G160" s="25" t="s">
        <v>605</v>
      </c>
      <c r="H160" s="25" t="s">
        <v>638</v>
      </c>
      <c r="I160" s="25" t="s">
        <v>639</v>
      </c>
      <c r="J160" s="25" t="s">
        <v>38</v>
      </c>
      <c r="K160" s="25">
        <v>60</v>
      </c>
      <c r="L160" s="25"/>
      <c r="M160" s="25" t="s">
        <v>83</v>
      </c>
      <c r="N160" s="23" t="s">
        <v>55</v>
      </c>
      <c r="O160" s="23" t="s">
        <v>59</v>
      </c>
      <c r="P160" s="23" t="s">
        <v>60</v>
      </c>
      <c r="Q160" s="23">
        <v>1</v>
      </c>
      <c r="R160" s="23" t="s">
        <v>61</v>
      </c>
      <c r="S160" s="23">
        <v>10000</v>
      </c>
      <c r="T160" s="23"/>
      <c r="U160" s="23" t="s">
        <v>83</v>
      </c>
      <c r="V160" s="23" t="s">
        <v>62</v>
      </c>
      <c r="W160" s="23"/>
      <c r="X160" s="23" t="e">
        <f>IF(COUNTIF(#REF!,_xlfn.TEXTJOIN(".",,C160,F160,H160)),"是","否")</f>
        <v>#REF!</v>
      </c>
      <c r="Y160" s="23" t="e">
        <f t="shared" ref="Y160:Y171" si="64">IF(AND(O160="底线指标",X160="是"),"是","否")</f>
        <v>#REF!</v>
      </c>
      <c r="Z160" s="23" t="s">
        <v>55</v>
      </c>
      <c r="AA160" s="27" t="s">
        <v>55</v>
      </c>
      <c r="AB160" s="27" t="s">
        <v>60</v>
      </c>
      <c r="AC160" s="27">
        <v>1</v>
      </c>
      <c r="AD160" s="27" t="s">
        <v>61</v>
      </c>
      <c r="AE160" s="27">
        <v>10000</v>
      </c>
      <c r="AF160" s="27"/>
      <c r="AG160" s="27" t="s">
        <v>550</v>
      </c>
      <c r="AH160" s="27"/>
      <c r="AI160" s="27" t="s">
        <v>62</v>
      </c>
      <c r="AJ160" s="1" t="str">
        <f t="shared" ref="AJ160:AJ171" si="65">_xlfn.TEXTJOIN(".",TRUE,C160,F160,H160)</f>
        <v>SYS.DMS.rabbitmq_instance_id,rabbitmq_queue.queue_messages_ready</v>
      </c>
      <c r="AK160" s="1" t="s">
        <v>302</v>
      </c>
      <c r="AL160" s="1"/>
    </row>
    <row r="161" spans="1:38" hidden="1" x14ac:dyDescent="0.25">
      <c r="A161" s="24">
        <f t="shared" si="63"/>
        <v>160</v>
      </c>
      <c r="B161" s="25" t="s">
        <v>538</v>
      </c>
      <c r="C161" s="25" t="s">
        <v>539</v>
      </c>
      <c r="D161" s="25" t="s">
        <v>540</v>
      </c>
      <c r="E161" s="25" t="s">
        <v>672</v>
      </c>
      <c r="F161" s="25" t="s">
        <v>673</v>
      </c>
      <c r="G161" s="25" t="s">
        <v>674</v>
      </c>
      <c r="H161" s="25" t="s">
        <v>675</v>
      </c>
      <c r="I161" s="25" t="s">
        <v>676</v>
      </c>
      <c r="J161" s="25" t="s">
        <v>38</v>
      </c>
      <c r="K161" s="25">
        <v>60</v>
      </c>
      <c r="L161" s="25"/>
      <c r="M161" s="25" t="s">
        <v>139</v>
      </c>
      <c r="N161" s="23" t="s">
        <v>55</v>
      </c>
      <c r="O161" s="23" t="s">
        <v>59</v>
      </c>
      <c r="P161" s="23" t="s">
        <v>60</v>
      </c>
      <c r="Q161" s="23">
        <v>3</v>
      </c>
      <c r="R161" s="23" t="s">
        <v>61</v>
      </c>
      <c r="S161" s="23"/>
      <c r="T161" s="23">
        <v>50</v>
      </c>
      <c r="U161" s="23" t="s">
        <v>139</v>
      </c>
      <c r="V161" s="23" t="s">
        <v>62</v>
      </c>
      <c r="W161" s="23"/>
      <c r="X161" s="23" t="e">
        <f>IF(COUNTIF(#REF!,_xlfn.TEXTJOIN(".",,C161,F161,H161)),"是","否")</f>
        <v>#REF!</v>
      </c>
      <c r="Y161" s="23" t="e">
        <f t="shared" si="64"/>
        <v>#REF!</v>
      </c>
      <c r="Z161" s="23" t="s">
        <v>55</v>
      </c>
      <c r="AA161" s="23"/>
      <c r="AB161" s="23"/>
      <c r="AC161" s="23"/>
      <c r="AD161" s="23"/>
      <c r="AE161" s="23"/>
      <c r="AF161" s="23"/>
      <c r="AG161" s="23"/>
      <c r="AH161" s="23"/>
      <c r="AI161" s="23"/>
      <c r="AJ161" s="1" t="str">
        <f t="shared" si="65"/>
        <v>SYS.DMS.kafka_instance_id,kafka_broker.broker_produce_mean</v>
      </c>
      <c r="AK161" s="1" t="s">
        <v>302</v>
      </c>
      <c r="AL161" s="1"/>
    </row>
    <row r="162" spans="1:38" hidden="1" x14ac:dyDescent="0.25">
      <c r="A162" s="24">
        <f t="shared" si="63"/>
        <v>161</v>
      </c>
      <c r="B162" s="25" t="s">
        <v>538</v>
      </c>
      <c r="C162" s="25" t="s">
        <v>539</v>
      </c>
      <c r="D162" s="25" t="s">
        <v>540</v>
      </c>
      <c r="E162" s="25" t="s">
        <v>672</v>
      </c>
      <c r="F162" s="25" t="s">
        <v>673</v>
      </c>
      <c r="G162" s="25" t="s">
        <v>677</v>
      </c>
      <c r="H162" s="25" t="s">
        <v>678</v>
      </c>
      <c r="I162" s="22" t="s">
        <v>679</v>
      </c>
      <c r="J162" s="22" t="s">
        <v>38</v>
      </c>
      <c r="K162" s="22">
        <v>60</v>
      </c>
      <c r="L162" s="22"/>
      <c r="M162" s="22" t="s">
        <v>139</v>
      </c>
      <c r="N162" s="23" t="s">
        <v>55</v>
      </c>
      <c r="O162" s="23" t="s">
        <v>59</v>
      </c>
      <c r="P162" s="23" t="s">
        <v>60</v>
      </c>
      <c r="Q162" s="23">
        <v>3</v>
      </c>
      <c r="R162" s="23" t="s">
        <v>61</v>
      </c>
      <c r="S162" s="23">
        <v>60000</v>
      </c>
      <c r="T162" s="23"/>
      <c r="U162" s="22" t="s">
        <v>44</v>
      </c>
      <c r="V162" s="23" t="s">
        <v>62</v>
      </c>
      <c r="W162" s="23"/>
      <c r="X162" s="23" t="e">
        <f>IF(COUNTIF(#REF!,_xlfn.TEXTJOIN(".",,C162,F162,H162)),"是","否")</f>
        <v>#REF!</v>
      </c>
      <c r="Y162" s="23" t="e">
        <f t="shared" si="64"/>
        <v>#REF!</v>
      </c>
      <c r="Z162" s="23"/>
      <c r="AA162" s="23"/>
      <c r="AB162" s="23"/>
      <c r="AC162" s="23"/>
      <c r="AD162" s="23"/>
      <c r="AE162" s="23"/>
      <c r="AF162" s="23"/>
      <c r="AG162" s="23"/>
      <c r="AH162" s="23"/>
      <c r="AI162" s="23"/>
      <c r="AJ162" s="1" t="str">
        <f t="shared" si="65"/>
        <v>SYS.DMS.kafka_instance_id,kafka_broker.broker_fetch_mean</v>
      </c>
      <c r="AK162" s="1"/>
      <c r="AL162" s="1"/>
    </row>
    <row r="163" spans="1:38" hidden="1" x14ac:dyDescent="0.25">
      <c r="A163" s="24">
        <f t="shared" si="63"/>
        <v>162</v>
      </c>
      <c r="B163" s="25" t="s">
        <v>538</v>
      </c>
      <c r="C163" s="25" t="s">
        <v>539</v>
      </c>
      <c r="D163" s="25" t="s">
        <v>540</v>
      </c>
      <c r="E163" s="25" t="s">
        <v>672</v>
      </c>
      <c r="F163" s="25" t="s">
        <v>673</v>
      </c>
      <c r="G163" s="25" t="s">
        <v>563</v>
      </c>
      <c r="H163" s="25" t="s">
        <v>564</v>
      </c>
      <c r="I163" s="25" t="s">
        <v>565</v>
      </c>
      <c r="J163" s="25" t="s">
        <v>38</v>
      </c>
      <c r="K163" s="25">
        <v>60</v>
      </c>
      <c r="L163" s="25"/>
      <c r="M163" s="25" t="s">
        <v>58</v>
      </c>
      <c r="N163" s="23" t="s">
        <v>55</v>
      </c>
      <c r="O163" s="23" t="s">
        <v>59</v>
      </c>
      <c r="P163" s="23" t="s">
        <v>60</v>
      </c>
      <c r="Q163" s="23">
        <v>3</v>
      </c>
      <c r="R163" s="23" t="s">
        <v>61</v>
      </c>
      <c r="S163" s="23">
        <v>80</v>
      </c>
      <c r="T163" s="23">
        <v>90</v>
      </c>
      <c r="U163" s="23" t="s">
        <v>58</v>
      </c>
      <c r="V163" s="23" t="s">
        <v>62</v>
      </c>
      <c r="W163" s="23"/>
      <c r="X163" s="23" t="e">
        <f>IF(COUNTIF(#REF!,_xlfn.TEXTJOIN(".",,C163,F163,H163)),"是","否")</f>
        <v>#REF!</v>
      </c>
      <c r="Y163" s="23" t="e">
        <f t="shared" si="64"/>
        <v>#REF!</v>
      </c>
      <c r="Z163" s="23" t="s">
        <v>55</v>
      </c>
      <c r="AA163" s="27" t="s">
        <v>55</v>
      </c>
      <c r="AB163" s="27" t="s">
        <v>60</v>
      </c>
      <c r="AC163" s="27">
        <v>3</v>
      </c>
      <c r="AD163" s="27" t="s">
        <v>61</v>
      </c>
      <c r="AE163" s="27">
        <v>80</v>
      </c>
      <c r="AF163" s="27">
        <v>90</v>
      </c>
      <c r="AG163" s="27"/>
      <c r="AH163" s="27" t="s">
        <v>58</v>
      </c>
      <c r="AI163" s="27" t="s">
        <v>62</v>
      </c>
      <c r="AJ163" s="1" t="str">
        <f t="shared" si="65"/>
        <v>SYS.DMS.kafka_instance_id,kafka_broker.broker_disk_usage</v>
      </c>
      <c r="AK163" s="1" t="s">
        <v>152</v>
      </c>
      <c r="AL163" s="1"/>
    </row>
    <row r="164" spans="1:38" hidden="1" x14ac:dyDescent="0.25">
      <c r="A164" s="24">
        <f t="shared" si="63"/>
        <v>163</v>
      </c>
      <c r="B164" s="25" t="s">
        <v>538</v>
      </c>
      <c r="C164" s="25" t="s">
        <v>539</v>
      </c>
      <c r="D164" s="25" t="s">
        <v>540</v>
      </c>
      <c r="E164" s="25" t="s">
        <v>672</v>
      </c>
      <c r="F164" s="25" t="s">
        <v>673</v>
      </c>
      <c r="G164" s="25" t="s">
        <v>76</v>
      </c>
      <c r="H164" s="25" t="s">
        <v>566</v>
      </c>
      <c r="I164" s="25" t="s">
        <v>567</v>
      </c>
      <c r="J164" s="25" t="s">
        <v>38</v>
      </c>
      <c r="K164" s="25">
        <v>60</v>
      </c>
      <c r="L164" s="25"/>
      <c r="M164" s="25" t="s">
        <v>58</v>
      </c>
      <c r="N164" s="23" t="s">
        <v>55</v>
      </c>
      <c r="O164" s="23" t="s">
        <v>59</v>
      </c>
      <c r="P164" s="23" t="s">
        <v>60</v>
      </c>
      <c r="Q164" s="23">
        <v>3</v>
      </c>
      <c r="R164" s="23" t="s">
        <v>61</v>
      </c>
      <c r="S164" s="23">
        <v>80</v>
      </c>
      <c r="T164" s="23">
        <v>90</v>
      </c>
      <c r="U164" s="23" t="s">
        <v>58</v>
      </c>
      <c r="V164" s="23" t="s">
        <v>62</v>
      </c>
      <c r="W164" s="23"/>
      <c r="X164" s="23" t="e">
        <f>IF(COUNTIF(#REF!,_xlfn.TEXTJOIN(".",,C164,F164,H164)),"是","否")</f>
        <v>#REF!</v>
      </c>
      <c r="Y164" s="23" t="e">
        <f t="shared" si="64"/>
        <v>#REF!</v>
      </c>
      <c r="Z164" s="23" t="s">
        <v>55</v>
      </c>
      <c r="AA164" s="27" t="s">
        <v>55</v>
      </c>
      <c r="AB164" s="27" t="s">
        <v>60</v>
      </c>
      <c r="AC164" s="27">
        <v>3</v>
      </c>
      <c r="AD164" s="27" t="s">
        <v>61</v>
      </c>
      <c r="AE164" s="27">
        <v>80</v>
      </c>
      <c r="AF164" s="27">
        <v>90</v>
      </c>
      <c r="AG164" s="27"/>
      <c r="AH164" s="27" t="s">
        <v>58</v>
      </c>
      <c r="AI164" s="27" t="s">
        <v>62</v>
      </c>
      <c r="AJ164" s="1" t="str">
        <f t="shared" si="65"/>
        <v>SYS.DMS.kafka_instance_id,kafka_broker.broker_memory_usage</v>
      </c>
      <c r="AK164" s="1" t="s">
        <v>152</v>
      </c>
      <c r="AL164" s="1"/>
    </row>
    <row r="165" spans="1:38" hidden="1" x14ac:dyDescent="0.25">
      <c r="A165" s="24">
        <f t="shared" si="63"/>
        <v>164</v>
      </c>
      <c r="B165" s="25" t="s">
        <v>538</v>
      </c>
      <c r="C165" s="25" t="s">
        <v>539</v>
      </c>
      <c r="D165" s="25" t="s">
        <v>540</v>
      </c>
      <c r="E165" s="25" t="s">
        <v>672</v>
      </c>
      <c r="F165" s="25" t="s">
        <v>673</v>
      </c>
      <c r="G165" s="25" t="s">
        <v>680</v>
      </c>
      <c r="H165" s="25" t="s">
        <v>681</v>
      </c>
      <c r="I165" s="25" t="s">
        <v>682</v>
      </c>
      <c r="J165" s="25" t="s">
        <v>38</v>
      </c>
      <c r="K165" s="25">
        <v>60</v>
      </c>
      <c r="L165" s="25"/>
      <c r="M165" s="25" t="s">
        <v>58</v>
      </c>
      <c r="N165" s="23" t="s">
        <v>55</v>
      </c>
      <c r="O165" s="23" t="s">
        <v>59</v>
      </c>
      <c r="P165" s="23" t="s">
        <v>60</v>
      </c>
      <c r="Q165" s="23">
        <v>3</v>
      </c>
      <c r="R165" s="23" t="s">
        <v>61</v>
      </c>
      <c r="S165" s="23">
        <v>80</v>
      </c>
      <c r="T165" s="23">
        <v>90</v>
      </c>
      <c r="U165" s="23" t="s">
        <v>58</v>
      </c>
      <c r="V165" s="23" t="s">
        <v>62</v>
      </c>
      <c r="W165" s="23"/>
      <c r="X165" s="23" t="e">
        <f>IF(COUNTIF(#REF!,_xlfn.TEXTJOIN(".",,C165,F165,H165)),"是","否")</f>
        <v>#REF!</v>
      </c>
      <c r="Y165" s="23" t="e">
        <f t="shared" si="64"/>
        <v>#REF!</v>
      </c>
      <c r="Z165" s="23" t="s">
        <v>55</v>
      </c>
      <c r="AA165" s="27" t="s">
        <v>55</v>
      </c>
      <c r="AB165" s="27" t="s">
        <v>60</v>
      </c>
      <c r="AC165" s="27">
        <v>3</v>
      </c>
      <c r="AD165" s="27" t="s">
        <v>61</v>
      </c>
      <c r="AE165" s="27">
        <v>80</v>
      </c>
      <c r="AF165" s="27">
        <v>90</v>
      </c>
      <c r="AG165" s="27"/>
      <c r="AH165" s="27" t="s">
        <v>58</v>
      </c>
      <c r="AI165" s="27" t="s">
        <v>62</v>
      </c>
      <c r="AJ165" s="1" t="str">
        <f t="shared" si="65"/>
        <v>SYS.DMS.kafka_instance_id,kafka_broker.broker_heap_usage</v>
      </c>
      <c r="AK165" s="1" t="s">
        <v>152</v>
      </c>
      <c r="AL165" s="1"/>
    </row>
    <row r="166" spans="1:38" hidden="1" x14ac:dyDescent="0.25">
      <c r="A166" s="24">
        <f t="shared" si="63"/>
        <v>165</v>
      </c>
      <c r="B166" s="25" t="s">
        <v>538</v>
      </c>
      <c r="C166" s="25" t="s">
        <v>539</v>
      </c>
      <c r="D166" s="25" t="s">
        <v>540</v>
      </c>
      <c r="E166" s="25" t="s">
        <v>672</v>
      </c>
      <c r="F166" s="25" t="s">
        <v>673</v>
      </c>
      <c r="G166" s="25" t="s">
        <v>568</v>
      </c>
      <c r="H166" s="25" t="s">
        <v>569</v>
      </c>
      <c r="I166" s="25" t="s">
        <v>570</v>
      </c>
      <c r="J166" s="25" t="s">
        <v>38</v>
      </c>
      <c r="K166" s="25">
        <v>60</v>
      </c>
      <c r="L166" s="25"/>
      <c r="M166" s="25"/>
      <c r="N166" s="23" t="s">
        <v>55</v>
      </c>
      <c r="O166" s="23" t="s">
        <v>59</v>
      </c>
      <c r="P166" s="23" t="s">
        <v>60</v>
      </c>
      <c r="Q166" s="23">
        <v>1</v>
      </c>
      <c r="R166" s="23" t="s">
        <v>136</v>
      </c>
      <c r="S166" s="23"/>
      <c r="T166" s="23">
        <v>0</v>
      </c>
      <c r="U166" s="23" t="s">
        <v>571</v>
      </c>
      <c r="V166" s="23" t="s">
        <v>62</v>
      </c>
      <c r="W166" s="23"/>
      <c r="X166" s="23" t="e">
        <f>IF(COUNTIF(#REF!,_xlfn.TEXTJOIN(".",,C166,F166,H166)),"是","否")</f>
        <v>#REF!</v>
      </c>
      <c r="Y166" s="23" t="e">
        <f t="shared" si="64"/>
        <v>#REF!</v>
      </c>
      <c r="Z166" s="23" t="s">
        <v>55</v>
      </c>
      <c r="AA166" s="27" t="s">
        <v>55</v>
      </c>
      <c r="AB166" s="27" t="s">
        <v>60</v>
      </c>
      <c r="AC166" s="27">
        <v>1</v>
      </c>
      <c r="AD166" s="27" t="s">
        <v>136</v>
      </c>
      <c r="AE166" s="27"/>
      <c r="AF166" s="27">
        <v>0</v>
      </c>
      <c r="AG166" s="27"/>
      <c r="AH166" s="27"/>
      <c r="AI166" s="27" t="s">
        <v>62</v>
      </c>
      <c r="AJ166" s="1" t="str">
        <f t="shared" si="65"/>
        <v>SYS.DMS.kafka_instance_id,kafka_broker.broker_alive</v>
      </c>
      <c r="AK166" s="1" t="s">
        <v>302</v>
      </c>
      <c r="AL166" s="1"/>
    </row>
    <row r="167" spans="1:38" hidden="1" x14ac:dyDescent="0.25">
      <c r="A167" s="24">
        <f t="shared" si="63"/>
        <v>166</v>
      </c>
      <c r="B167" s="25" t="s">
        <v>538</v>
      </c>
      <c r="C167" s="25" t="s">
        <v>539</v>
      </c>
      <c r="D167" s="25" t="s">
        <v>540</v>
      </c>
      <c r="E167" s="25" t="s">
        <v>672</v>
      </c>
      <c r="F167" s="25" t="s">
        <v>673</v>
      </c>
      <c r="G167" s="25" t="s">
        <v>175</v>
      </c>
      <c r="H167" s="25" t="s">
        <v>572</v>
      </c>
      <c r="I167" s="25" t="s">
        <v>573</v>
      </c>
      <c r="J167" s="25" t="s">
        <v>38</v>
      </c>
      <c r="K167" s="25">
        <v>60</v>
      </c>
      <c r="L167" s="25"/>
      <c r="M167" s="25" t="s">
        <v>83</v>
      </c>
      <c r="N167" s="23" t="s">
        <v>55</v>
      </c>
      <c r="O167" s="23" t="s">
        <v>59</v>
      </c>
      <c r="P167" s="23" t="s">
        <v>60</v>
      </c>
      <c r="Q167" s="23">
        <v>1</v>
      </c>
      <c r="R167" s="23" t="s">
        <v>61</v>
      </c>
      <c r="S167" s="23"/>
      <c r="T167" s="23">
        <v>4000</v>
      </c>
      <c r="U167" s="23" t="s">
        <v>83</v>
      </c>
      <c r="V167" s="23" t="s">
        <v>62</v>
      </c>
      <c r="W167" s="23"/>
      <c r="X167" s="23" t="e">
        <f>IF(COUNTIF(#REF!,_xlfn.TEXTJOIN(".",,C167,F167,H167)),"是","否")</f>
        <v>#REF!</v>
      </c>
      <c r="Y167" s="23" t="e">
        <f t="shared" si="64"/>
        <v>#REF!</v>
      </c>
      <c r="Z167" s="23" t="s">
        <v>55</v>
      </c>
      <c r="AA167" s="27" t="s">
        <v>55</v>
      </c>
      <c r="AB167" s="27" t="s">
        <v>60</v>
      </c>
      <c r="AC167" s="27">
        <v>1</v>
      </c>
      <c r="AD167" s="27" t="s">
        <v>61</v>
      </c>
      <c r="AE167" s="27">
        <v>5000</v>
      </c>
      <c r="AF167" s="27"/>
      <c r="AG167" s="27"/>
      <c r="AH167" s="27"/>
      <c r="AI167" s="27" t="s">
        <v>62</v>
      </c>
      <c r="AJ167" s="1" t="str">
        <f t="shared" si="65"/>
        <v>SYS.DMS.kafka_instance_id,kafka_broker.broker_connections</v>
      </c>
      <c r="AK167" s="1" t="s">
        <v>152</v>
      </c>
      <c r="AL167" s="1"/>
    </row>
    <row r="168" spans="1:38" hidden="1" x14ac:dyDescent="0.25">
      <c r="A168" s="24">
        <f t="shared" si="63"/>
        <v>167</v>
      </c>
      <c r="B168" s="25" t="s">
        <v>538</v>
      </c>
      <c r="C168" s="25" t="s">
        <v>539</v>
      </c>
      <c r="D168" s="25" t="s">
        <v>540</v>
      </c>
      <c r="E168" s="25" t="s">
        <v>672</v>
      </c>
      <c r="F168" s="25" t="s">
        <v>673</v>
      </c>
      <c r="G168" s="25" t="s">
        <v>72</v>
      </c>
      <c r="H168" s="25" t="s">
        <v>575</v>
      </c>
      <c r="I168" s="25" t="s">
        <v>576</v>
      </c>
      <c r="J168" s="25" t="s">
        <v>38</v>
      </c>
      <c r="K168" s="25">
        <v>60</v>
      </c>
      <c r="L168" s="25"/>
      <c r="M168" s="25" t="s">
        <v>58</v>
      </c>
      <c r="N168" s="23" t="s">
        <v>55</v>
      </c>
      <c r="O168" s="23" t="s">
        <v>59</v>
      </c>
      <c r="P168" s="23" t="s">
        <v>60</v>
      </c>
      <c r="Q168" s="23">
        <v>3</v>
      </c>
      <c r="R168" s="23" t="s">
        <v>61</v>
      </c>
      <c r="S168" s="23">
        <v>80</v>
      </c>
      <c r="T168" s="23">
        <v>90</v>
      </c>
      <c r="U168" s="23" t="s">
        <v>58</v>
      </c>
      <c r="V168" s="23" t="s">
        <v>62</v>
      </c>
      <c r="W168" s="23"/>
      <c r="X168" s="23" t="e">
        <f>IF(COUNTIF(#REF!,_xlfn.TEXTJOIN(".",,C168,F168,H168)),"是","否")</f>
        <v>#REF!</v>
      </c>
      <c r="Y168" s="23" t="e">
        <f t="shared" si="64"/>
        <v>#REF!</v>
      </c>
      <c r="Z168" s="23" t="s">
        <v>55</v>
      </c>
      <c r="AA168" s="27" t="s">
        <v>55</v>
      </c>
      <c r="AB168" s="27" t="s">
        <v>60</v>
      </c>
      <c r="AC168" s="27">
        <v>3</v>
      </c>
      <c r="AD168" s="27" t="s">
        <v>61</v>
      </c>
      <c r="AE168" s="27">
        <v>80</v>
      </c>
      <c r="AF168" s="27">
        <v>90</v>
      </c>
      <c r="AG168" s="27"/>
      <c r="AH168" s="27" t="s">
        <v>58</v>
      </c>
      <c r="AI168" s="27" t="s">
        <v>62</v>
      </c>
      <c r="AJ168" s="1" t="str">
        <f t="shared" si="65"/>
        <v>SYS.DMS.kafka_instance_id,kafka_broker.broker_cpu_usage</v>
      </c>
      <c r="AK168" s="1" t="s">
        <v>152</v>
      </c>
      <c r="AL168" s="1"/>
    </row>
    <row r="169" spans="1:38" hidden="1" x14ac:dyDescent="0.25">
      <c r="A169" s="24">
        <f t="shared" si="63"/>
        <v>168</v>
      </c>
      <c r="B169" s="25" t="s">
        <v>538</v>
      </c>
      <c r="C169" s="25" t="s">
        <v>539</v>
      </c>
      <c r="D169" s="25" t="s">
        <v>540</v>
      </c>
      <c r="E169" s="25" t="s">
        <v>672</v>
      </c>
      <c r="F169" s="25" t="s">
        <v>673</v>
      </c>
      <c r="G169" s="25" t="s">
        <v>578</v>
      </c>
      <c r="H169" s="25" t="s">
        <v>579</v>
      </c>
      <c r="I169" s="25" t="s">
        <v>580</v>
      </c>
      <c r="J169" s="25" t="s">
        <v>38</v>
      </c>
      <c r="K169" s="25">
        <v>60</v>
      </c>
      <c r="L169" s="25"/>
      <c r="M169" s="25" t="s">
        <v>44</v>
      </c>
      <c r="N169" s="23" t="s">
        <v>55</v>
      </c>
      <c r="O169" s="23" t="s">
        <v>59</v>
      </c>
      <c r="P169" s="23" t="s">
        <v>60</v>
      </c>
      <c r="Q169" s="23">
        <v>3</v>
      </c>
      <c r="R169" s="23" t="s">
        <v>61</v>
      </c>
      <c r="S169" s="23"/>
      <c r="T169" s="23">
        <v>5000</v>
      </c>
      <c r="U169" s="23" t="s">
        <v>44</v>
      </c>
      <c r="V169" s="23" t="s">
        <v>62</v>
      </c>
      <c r="W169" s="23"/>
      <c r="X169" s="23" t="e">
        <f>IF(COUNTIF(#REF!,_xlfn.TEXTJOIN(".",,C169,F169,H169)),"是","否")</f>
        <v>#REF!</v>
      </c>
      <c r="Y169" s="23" t="e">
        <f t="shared" si="64"/>
        <v>#REF!</v>
      </c>
      <c r="Z169" s="23" t="s">
        <v>55</v>
      </c>
      <c r="AA169" s="27" t="s">
        <v>55</v>
      </c>
      <c r="AB169" s="27" t="s">
        <v>60</v>
      </c>
      <c r="AC169" s="27">
        <v>3</v>
      </c>
      <c r="AD169" s="27" t="s">
        <v>61</v>
      </c>
      <c r="AE169" s="27"/>
      <c r="AF169" s="27">
        <v>5000</v>
      </c>
      <c r="AG169" s="27"/>
      <c r="AH169" s="27" t="s">
        <v>44</v>
      </c>
      <c r="AI169" s="27" t="s">
        <v>62</v>
      </c>
      <c r="AJ169" s="1" t="str">
        <f t="shared" si="65"/>
        <v>SYS.DMS.kafka_instance_id,kafka_broker.broker_disk_read_await</v>
      </c>
      <c r="AK169" s="1" t="s">
        <v>302</v>
      </c>
      <c r="AL169" s="1"/>
    </row>
    <row r="170" spans="1:38" hidden="1" x14ac:dyDescent="0.25">
      <c r="A170" s="24">
        <f t="shared" si="63"/>
        <v>169</v>
      </c>
      <c r="B170" s="25" t="s">
        <v>538</v>
      </c>
      <c r="C170" s="25" t="s">
        <v>539</v>
      </c>
      <c r="D170" s="25" t="s">
        <v>540</v>
      </c>
      <c r="E170" s="25" t="s">
        <v>672</v>
      </c>
      <c r="F170" s="25" t="s">
        <v>673</v>
      </c>
      <c r="G170" s="25" t="s">
        <v>581</v>
      </c>
      <c r="H170" s="25" t="s">
        <v>582</v>
      </c>
      <c r="I170" s="25" t="s">
        <v>583</v>
      </c>
      <c r="J170" s="25" t="s">
        <v>38</v>
      </c>
      <c r="K170" s="25">
        <v>60</v>
      </c>
      <c r="L170" s="25"/>
      <c r="M170" s="25" t="s">
        <v>44</v>
      </c>
      <c r="N170" s="23" t="s">
        <v>55</v>
      </c>
      <c r="O170" s="23" t="s">
        <v>59</v>
      </c>
      <c r="P170" s="23" t="s">
        <v>60</v>
      </c>
      <c r="Q170" s="23">
        <v>3</v>
      </c>
      <c r="R170" s="23" t="s">
        <v>61</v>
      </c>
      <c r="S170" s="23"/>
      <c r="T170" s="23">
        <v>5000</v>
      </c>
      <c r="U170" s="23" t="s">
        <v>44</v>
      </c>
      <c r="V170" s="23" t="s">
        <v>62</v>
      </c>
      <c r="W170" s="23"/>
      <c r="X170" s="23" t="e">
        <f>IF(COUNTIF(#REF!,_xlfn.TEXTJOIN(".",,C170,F170,H170)),"是","否")</f>
        <v>#REF!</v>
      </c>
      <c r="Y170" s="23" t="e">
        <f t="shared" si="64"/>
        <v>#REF!</v>
      </c>
      <c r="Z170" s="23" t="s">
        <v>55</v>
      </c>
      <c r="AA170" s="27" t="s">
        <v>55</v>
      </c>
      <c r="AB170" s="27" t="s">
        <v>60</v>
      </c>
      <c r="AC170" s="27">
        <v>3</v>
      </c>
      <c r="AD170" s="27" t="s">
        <v>61</v>
      </c>
      <c r="AE170" s="27"/>
      <c r="AF170" s="27">
        <v>5000</v>
      </c>
      <c r="AG170" s="27"/>
      <c r="AH170" s="27" t="s">
        <v>44</v>
      </c>
      <c r="AI170" s="27" t="s">
        <v>62</v>
      </c>
      <c r="AJ170" s="1" t="str">
        <f t="shared" si="65"/>
        <v>SYS.DMS.kafka_instance_id,kafka_broker.broker_disk_write_await</v>
      </c>
      <c r="AK170" s="1" t="s">
        <v>302</v>
      </c>
      <c r="AL170" s="1"/>
    </row>
    <row r="171" spans="1:38" hidden="1" x14ac:dyDescent="0.25">
      <c r="A171" s="24">
        <f t="shared" si="63"/>
        <v>170</v>
      </c>
      <c r="B171" s="25" t="s">
        <v>538</v>
      </c>
      <c r="C171" s="25" t="s">
        <v>539</v>
      </c>
      <c r="D171" s="25" t="s">
        <v>540</v>
      </c>
      <c r="E171" s="25" t="s">
        <v>672</v>
      </c>
      <c r="F171" s="25" t="s">
        <v>673</v>
      </c>
      <c r="G171" s="25" t="s">
        <v>683</v>
      </c>
      <c r="H171" s="25" t="s">
        <v>535</v>
      </c>
      <c r="I171" s="25" t="s">
        <v>684</v>
      </c>
      <c r="J171" s="25" t="s">
        <v>38</v>
      </c>
      <c r="K171" s="25">
        <v>60</v>
      </c>
      <c r="L171" s="25" t="s">
        <v>39</v>
      </c>
      <c r="M171" s="25" t="s">
        <v>58</v>
      </c>
      <c r="N171" s="23" t="s">
        <v>55</v>
      </c>
      <c r="O171" s="23" t="s">
        <v>59</v>
      </c>
      <c r="P171" s="23" t="s">
        <v>60</v>
      </c>
      <c r="Q171" s="23">
        <v>3</v>
      </c>
      <c r="R171" s="23" t="s">
        <v>61</v>
      </c>
      <c r="S171" s="23">
        <v>70</v>
      </c>
      <c r="T171" s="23">
        <v>80</v>
      </c>
      <c r="U171" s="23" t="s">
        <v>58</v>
      </c>
      <c r="V171" s="23" t="s">
        <v>62</v>
      </c>
      <c r="W171" s="23"/>
      <c r="X171" s="23" t="e">
        <f>IF(COUNTIF(#REF!,_xlfn.TEXTJOIN(".",,C171,F171,H171)),"是","否")</f>
        <v>#REF!</v>
      </c>
      <c r="Y171" s="23" t="e">
        <f t="shared" si="64"/>
        <v>#REF!</v>
      </c>
      <c r="Z171" s="23" t="s">
        <v>55</v>
      </c>
      <c r="AA171" s="27" t="s">
        <v>55</v>
      </c>
      <c r="AB171" s="27" t="s">
        <v>60</v>
      </c>
      <c r="AC171" s="27">
        <v>3</v>
      </c>
      <c r="AD171" s="27" t="s">
        <v>61</v>
      </c>
      <c r="AE171" s="27">
        <v>70</v>
      </c>
      <c r="AF171" s="27">
        <v>80</v>
      </c>
      <c r="AG171" s="27"/>
      <c r="AH171" s="27" t="s">
        <v>58</v>
      </c>
      <c r="AI171" s="27" t="s">
        <v>62</v>
      </c>
      <c r="AJ171" s="1" t="str">
        <f t="shared" si="65"/>
        <v>SYS.DMS.kafka_instance_id,kafka_broker.network_bandwidth_usage</v>
      </c>
      <c r="AK171" s="1" t="s">
        <v>152</v>
      </c>
      <c r="AL171" s="1"/>
    </row>
    <row r="172" spans="1:38" hidden="1" x14ac:dyDescent="0.25">
      <c r="A172" s="24">
        <f t="shared" ref="A172:A177" si="66">ROW()-1</f>
        <v>171</v>
      </c>
      <c r="B172" s="25" t="s">
        <v>686</v>
      </c>
      <c r="C172" s="25" t="s">
        <v>687</v>
      </c>
      <c r="D172" s="27" t="s">
        <v>688</v>
      </c>
      <c r="E172" s="25" t="s">
        <v>689</v>
      </c>
      <c r="F172" s="25" t="s">
        <v>690</v>
      </c>
      <c r="G172" s="25" t="s">
        <v>72</v>
      </c>
      <c r="H172" s="25" t="s">
        <v>691</v>
      </c>
      <c r="I172" s="25" t="s">
        <v>692</v>
      </c>
      <c r="J172" s="25" t="s">
        <v>38</v>
      </c>
      <c r="K172" s="25">
        <v>60</v>
      </c>
      <c r="L172" s="25" t="s">
        <v>39</v>
      </c>
      <c r="M172" s="25" t="s">
        <v>58</v>
      </c>
      <c r="N172" s="23" t="s">
        <v>55</v>
      </c>
      <c r="O172" s="23" t="s">
        <v>59</v>
      </c>
      <c r="P172" s="23" t="s">
        <v>60</v>
      </c>
      <c r="Q172" s="23">
        <v>3</v>
      </c>
      <c r="R172" s="23" t="s">
        <v>61</v>
      </c>
      <c r="S172" s="23">
        <v>80</v>
      </c>
      <c r="T172" s="23">
        <v>90</v>
      </c>
      <c r="U172" s="23" t="s">
        <v>58</v>
      </c>
      <c r="V172" s="23" t="s">
        <v>62</v>
      </c>
      <c r="W172" s="23"/>
      <c r="X172" s="23" t="e">
        <f>IF(COUNTIF(#REF!,_xlfn.TEXTJOIN(".",,C172,F172,H172)),"是","否")</f>
        <v>#REF!</v>
      </c>
      <c r="Y172" s="23" t="e">
        <f t="shared" ref="Y172:Y177" si="67">IF(AND(O172="底线指标",X172="是"),"是","否")</f>
        <v>#REF!</v>
      </c>
      <c r="Z172" s="23" t="s">
        <v>55</v>
      </c>
      <c r="AA172" s="27" t="s">
        <v>55</v>
      </c>
      <c r="AB172" s="27" t="s">
        <v>60</v>
      </c>
      <c r="AC172" s="27">
        <v>5</v>
      </c>
      <c r="AD172" s="27" t="s">
        <v>61</v>
      </c>
      <c r="AE172" s="27">
        <v>80</v>
      </c>
      <c r="AF172" s="27"/>
      <c r="AG172" s="27"/>
      <c r="AH172" s="27" t="s">
        <v>58</v>
      </c>
      <c r="AI172" s="27" t="s">
        <v>62</v>
      </c>
      <c r="AJ172" s="1" t="str">
        <f t="shared" ref="AJ172:AJ177" si="68">_xlfn.TEXTJOIN(".",TRUE,C172,F172,H172)</f>
        <v>SYS.DDMS.instance_id,node_id.ddm_cpu_util</v>
      </c>
      <c r="AK172" s="1" t="s">
        <v>152</v>
      </c>
      <c r="AL172" s="1"/>
    </row>
    <row r="173" spans="1:38" hidden="1" x14ac:dyDescent="0.25">
      <c r="A173" s="24">
        <f t="shared" si="66"/>
        <v>172</v>
      </c>
      <c r="B173" s="25" t="s">
        <v>686</v>
      </c>
      <c r="C173" s="25" t="s">
        <v>687</v>
      </c>
      <c r="D173" s="27" t="s">
        <v>688</v>
      </c>
      <c r="E173" s="25" t="s">
        <v>689</v>
      </c>
      <c r="F173" s="25" t="s">
        <v>690</v>
      </c>
      <c r="G173" s="25" t="s">
        <v>76</v>
      </c>
      <c r="H173" s="25" t="s">
        <v>693</v>
      </c>
      <c r="I173" s="25" t="s">
        <v>694</v>
      </c>
      <c r="J173" s="25" t="s">
        <v>38</v>
      </c>
      <c r="K173" s="25">
        <v>60</v>
      </c>
      <c r="L173" s="25" t="s">
        <v>39</v>
      </c>
      <c r="M173" s="25" t="s">
        <v>58</v>
      </c>
      <c r="N173" s="23" t="s">
        <v>55</v>
      </c>
      <c r="O173" s="23" t="s">
        <v>59</v>
      </c>
      <c r="P173" s="23" t="s">
        <v>60</v>
      </c>
      <c r="Q173" s="23">
        <v>3</v>
      </c>
      <c r="R173" s="23" t="s">
        <v>61</v>
      </c>
      <c r="S173" s="23">
        <v>85</v>
      </c>
      <c r="T173" s="23">
        <v>90</v>
      </c>
      <c r="U173" s="23" t="s">
        <v>58</v>
      </c>
      <c r="V173" s="23" t="s">
        <v>62</v>
      </c>
      <c r="W173" s="23"/>
      <c r="X173" s="23" t="e">
        <f>IF(COUNTIF(#REF!,_xlfn.TEXTJOIN(".",,C173,F173,H173)),"是","否")</f>
        <v>#REF!</v>
      </c>
      <c r="Y173" s="23" t="e">
        <f t="shared" si="67"/>
        <v>#REF!</v>
      </c>
      <c r="Z173" s="23" t="s">
        <v>55</v>
      </c>
      <c r="AA173" s="27" t="s">
        <v>55</v>
      </c>
      <c r="AB173" s="27" t="s">
        <v>60</v>
      </c>
      <c r="AC173" s="27">
        <v>5</v>
      </c>
      <c r="AD173" s="27" t="s">
        <v>61</v>
      </c>
      <c r="AE173" s="27">
        <v>90</v>
      </c>
      <c r="AF173" s="27"/>
      <c r="AG173" s="27"/>
      <c r="AH173" s="27" t="s">
        <v>58</v>
      </c>
      <c r="AI173" s="27" t="s">
        <v>62</v>
      </c>
      <c r="AJ173" s="1" t="str">
        <f t="shared" si="68"/>
        <v>SYS.DDMS.instance_id,node_id.ddm_mem_util</v>
      </c>
      <c r="AK173" s="1" t="s">
        <v>152</v>
      </c>
      <c r="AL173" s="1"/>
    </row>
    <row r="174" spans="1:38" hidden="1" x14ac:dyDescent="0.25">
      <c r="A174" s="24">
        <f t="shared" si="66"/>
        <v>173</v>
      </c>
      <c r="B174" s="25" t="s">
        <v>686</v>
      </c>
      <c r="C174" s="25" t="s">
        <v>687</v>
      </c>
      <c r="D174" s="27" t="s">
        <v>688</v>
      </c>
      <c r="E174" s="25" t="s">
        <v>689</v>
      </c>
      <c r="F174" s="25" t="s">
        <v>690</v>
      </c>
      <c r="G174" s="25" t="s">
        <v>695</v>
      </c>
      <c r="H174" s="25" t="s">
        <v>696</v>
      </c>
      <c r="I174" s="25" t="s">
        <v>697</v>
      </c>
      <c r="J174" s="25" t="s">
        <v>38</v>
      </c>
      <c r="K174" s="25">
        <v>60</v>
      </c>
      <c r="L174" s="25" t="s">
        <v>39</v>
      </c>
      <c r="M174" s="25" t="s">
        <v>698</v>
      </c>
      <c r="N174" s="23" t="s">
        <v>55</v>
      </c>
      <c r="O174" s="23" t="s">
        <v>59</v>
      </c>
      <c r="P174" s="23" t="s">
        <v>60</v>
      </c>
      <c r="Q174" s="23">
        <v>3</v>
      </c>
      <c r="R174" s="23" t="s">
        <v>61</v>
      </c>
      <c r="S174" s="23">
        <v>50</v>
      </c>
      <c r="T174" s="23">
        <v>100</v>
      </c>
      <c r="U174" s="23" t="s">
        <v>698</v>
      </c>
      <c r="V174" s="23" t="s">
        <v>459</v>
      </c>
      <c r="W174" s="23"/>
      <c r="X174" s="23" t="e">
        <f>IF(COUNTIF(#REF!,_xlfn.TEXTJOIN(".",,C174,F174,H174)),"是","否")</f>
        <v>#REF!</v>
      </c>
      <c r="Y174" s="23" t="e">
        <f t="shared" si="67"/>
        <v>#REF!</v>
      </c>
      <c r="Z174" s="23" t="s">
        <v>55</v>
      </c>
      <c r="AA174" s="27" t="s">
        <v>55</v>
      </c>
      <c r="AB174" s="27" t="s">
        <v>60</v>
      </c>
      <c r="AC174" s="27">
        <v>5</v>
      </c>
      <c r="AD174" s="27" t="s">
        <v>240</v>
      </c>
      <c r="AE174" s="27">
        <v>100</v>
      </c>
      <c r="AF174" s="27"/>
      <c r="AG174" s="27"/>
      <c r="AH174" s="27"/>
      <c r="AI174" s="27" t="s">
        <v>62</v>
      </c>
      <c r="AJ174" s="1" t="str">
        <f t="shared" si="68"/>
        <v>SYS.DDMS.instance_id,node_id.ddm_slow_log</v>
      </c>
      <c r="AK174" s="1" t="s">
        <v>302</v>
      </c>
      <c r="AL174" s="1"/>
    </row>
    <row r="175" spans="1:38" hidden="1" x14ac:dyDescent="0.25">
      <c r="A175" s="24">
        <f t="shared" si="66"/>
        <v>174</v>
      </c>
      <c r="B175" s="25" t="s">
        <v>686</v>
      </c>
      <c r="C175" s="25" t="s">
        <v>687</v>
      </c>
      <c r="D175" s="27" t="s">
        <v>688</v>
      </c>
      <c r="E175" s="25" t="s">
        <v>689</v>
      </c>
      <c r="F175" s="25" t="s">
        <v>690</v>
      </c>
      <c r="G175" s="25" t="s">
        <v>699</v>
      </c>
      <c r="H175" s="25" t="s">
        <v>700</v>
      </c>
      <c r="I175" s="22" t="s">
        <v>701</v>
      </c>
      <c r="J175" s="22" t="s">
        <v>38</v>
      </c>
      <c r="K175" s="22">
        <v>60</v>
      </c>
      <c r="L175" s="22" t="s">
        <v>39</v>
      </c>
      <c r="M175" s="22" t="s">
        <v>58</v>
      </c>
      <c r="N175" s="23" t="s">
        <v>55</v>
      </c>
      <c r="O175" s="23" t="s">
        <v>59</v>
      </c>
      <c r="P175" s="23" t="s">
        <v>702</v>
      </c>
      <c r="Q175" s="23">
        <v>3</v>
      </c>
      <c r="R175" s="23" t="s">
        <v>240</v>
      </c>
      <c r="S175" s="23">
        <v>80</v>
      </c>
      <c r="T175" s="23"/>
      <c r="U175" s="22" t="s">
        <v>58</v>
      </c>
      <c r="V175" s="23" t="s">
        <v>703</v>
      </c>
      <c r="W175" s="23"/>
      <c r="X175" s="23" t="e">
        <f>IF(COUNTIF(#REF!,_xlfn.TEXTJOIN(".",,C175,F175,H175)),"是","否")</f>
        <v>#REF!</v>
      </c>
      <c r="Y175" s="23" t="e">
        <f t="shared" si="67"/>
        <v>#REF!</v>
      </c>
      <c r="Z175" s="23"/>
      <c r="AA175" s="23"/>
      <c r="AB175" s="23"/>
      <c r="AC175" s="23"/>
      <c r="AD175" s="23"/>
      <c r="AE175" s="23"/>
      <c r="AF175" s="23"/>
      <c r="AG175" s="23"/>
      <c r="AH175" s="23"/>
      <c r="AI175" s="23"/>
      <c r="AJ175" s="1" t="str">
        <f t="shared" si="68"/>
        <v>SYS.DDMS.instance_id,node_id.ddm_backend_connection_ratio</v>
      </c>
      <c r="AK175" s="1"/>
      <c r="AL175" s="1"/>
    </row>
    <row r="176" spans="1:38" hidden="1" x14ac:dyDescent="0.25">
      <c r="A176" s="24">
        <f t="shared" si="66"/>
        <v>175</v>
      </c>
      <c r="B176" s="25" t="s">
        <v>686</v>
      </c>
      <c r="C176" s="25" t="s">
        <v>687</v>
      </c>
      <c r="D176" s="27" t="s">
        <v>688</v>
      </c>
      <c r="E176" s="25" t="s">
        <v>689</v>
      </c>
      <c r="F176" s="25" t="s">
        <v>690</v>
      </c>
      <c r="G176" s="25" t="s">
        <v>174</v>
      </c>
      <c r="H176" s="25" t="s">
        <v>704</v>
      </c>
      <c r="I176" s="25" t="s">
        <v>705</v>
      </c>
      <c r="J176" s="25" t="s">
        <v>38</v>
      </c>
      <c r="K176" s="25">
        <v>60</v>
      </c>
      <c r="L176" s="25" t="s">
        <v>39</v>
      </c>
      <c r="M176" s="25" t="s">
        <v>58</v>
      </c>
      <c r="N176" s="23" t="s">
        <v>55</v>
      </c>
      <c r="O176" s="23" t="s">
        <v>59</v>
      </c>
      <c r="P176" s="23" t="s">
        <v>60</v>
      </c>
      <c r="Q176" s="23">
        <v>2</v>
      </c>
      <c r="R176" s="23" t="s">
        <v>240</v>
      </c>
      <c r="S176" s="23">
        <v>80</v>
      </c>
      <c r="T176" s="23">
        <v>85</v>
      </c>
      <c r="U176" s="23" t="s">
        <v>58</v>
      </c>
      <c r="V176" s="23" t="s">
        <v>62</v>
      </c>
      <c r="W176" s="23"/>
      <c r="X176" s="23" t="e">
        <f>IF(COUNTIF(#REF!,_xlfn.TEXTJOIN(".",,C176,F176,H176)),"是","否")</f>
        <v>#REF!</v>
      </c>
      <c r="Y176" s="23" t="e">
        <f t="shared" si="67"/>
        <v>#REF!</v>
      </c>
      <c r="Z176" s="23" t="s">
        <v>55</v>
      </c>
      <c r="AA176" s="27" t="s">
        <v>55</v>
      </c>
      <c r="AB176" s="27" t="s">
        <v>60</v>
      </c>
      <c r="AC176" s="27">
        <v>3</v>
      </c>
      <c r="AD176" s="27" t="s">
        <v>61</v>
      </c>
      <c r="AE176" s="27">
        <v>80</v>
      </c>
      <c r="AF176" s="27"/>
      <c r="AG176" s="27"/>
      <c r="AH176" s="27" t="s">
        <v>58</v>
      </c>
      <c r="AI176" s="27" t="s">
        <v>62</v>
      </c>
      <c r="AJ176" s="1" t="str">
        <f t="shared" si="68"/>
        <v>SYS.DDMS.instance_id,node_id.ddm_connection_util</v>
      </c>
      <c r="AK176" s="1" t="s">
        <v>152</v>
      </c>
      <c r="AL176" s="1"/>
    </row>
    <row r="177" spans="1:38" hidden="1" x14ac:dyDescent="0.25">
      <c r="A177" s="24">
        <f t="shared" si="66"/>
        <v>176</v>
      </c>
      <c r="B177" s="25" t="s">
        <v>686</v>
      </c>
      <c r="C177" s="25" t="s">
        <v>687</v>
      </c>
      <c r="D177" s="27" t="s">
        <v>688</v>
      </c>
      <c r="E177" s="25" t="s">
        <v>689</v>
      </c>
      <c r="F177" s="25" t="s">
        <v>690</v>
      </c>
      <c r="G177" s="25" t="s">
        <v>706</v>
      </c>
      <c r="H177" s="25" t="s">
        <v>707</v>
      </c>
      <c r="I177" s="25" t="s">
        <v>708</v>
      </c>
      <c r="J177" s="25" t="s">
        <v>38</v>
      </c>
      <c r="K177" s="25">
        <v>60</v>
      </c>
      <c r="L177" s="25" t="s">
        <v>45</v>
      </c>
      <c r="M177" s="25"/>
      <c r="N177" s="23" t="s">
        <v>55</v>
      </c>
      <c r="O177" s="23" t="s">
        <v>59</v>
      </c>
      <c r="P177" s="23" t="s">
        <v>60</v>
      </c>
      <c r="Q177" s="23">
        <v>1</v>
      </c>
      <c r="R177" s="23" t="s">
        <v>136</v>
      </c>
      <c r="S177" s="23"/>
      <c r="T177" s="23">
        <v>1</v>
      </c>
      <c r="U177" s="23" t="s">
        <v>571</v>
      </c>
      <c r="V177" s="23" t="s">
        <v>62</v>
      </c>
      <c r="W177" s="23"/>
      <c r="X177" s="23" t="e">
        <f>IF(COUNTIF(#REF!,_xlfn.TEXTJOIN(".",,C177,F177,H177)),"是","否")</f>
        <v>#REF!</v>
      </c>
      <c r="Y177" s="23" t="e">
        <f t="shared" si="67"/>
        <v>#REF!</v>
      </c>
      <c r="Z177" s="23" t="s">
        <v>55</v>
      </c>
      <c r="AA177" s="27" t="s">
        <v>55</v>
      </c>
      <c r="AB177" s="27" t="s">
        <v>60</v>
      </c>
      <c r="AC177" s="27">
        <v>3</v>
      </c>
      <c r="AD177" s="27" t="s">
        <v>136</v>
      </c>
      <c r="AE177" s="27">
        <v>1</v>
      </c>
      <c r="AF177" s="27"/>
      <c r="AG177" s="27"/>
      <c r="AH177" s="27"/>
      <c r="AI177" s="27" t="s">
        <v>62</v>
      </c>
      <c r="AJ177" s="1" t="str">
        <f t="shared" si="68"/>
        <v>SYS.DDMS.instance_id,node_id.ddm_node_status_alarm_code</v>
      </c>
      <c r="AK177" s="1" t="s">
        <v>302</v>
      </c>
      <c r="AL177" s="1"/>
    </row>
    <row r="178" spans="1:38" hidden="1" x14ac:dyDescent="0.25">
      <c r="A178" s="24">
        <f t="shared" ref="A178:A188" si="69">ROW()-1</f>
        <v>177</v>
      </c>
      <c r="B178" s="25" t="s">
        <v>712</v>
      </c>
      <c r="C178" s="25" t="s">
        <v>713</v>
      </c>
      <c r="D178" s="25" t="s">
        <v>714</v>
      </c>
      <c r="E178" s="25" t="s">
        <v>715</v>
      </c>
      <c r="F178" s="25" t="s">
        <v>716</v>
      </c>
      <c r="G178" s="25" t="s">
        <v>717</v>
      </c>
      <c r="H178" s="25" t="s">
        <v>718</v>
      </c>
      <c r="I178" s="25" t="s">
        <v>719</v>
      </c>
      <c r="J178" s="25" t="s">
        <v>38</v>
      </c>
      <c r="K178" s="25">
        <v>60</v>
      </c>
      <c r="L178" s="25" t="s">
        <v>45</v>
      </c>
      <c r="M178" s="25" t="s">
        <v>720</v>
      </c>
      <c r="N178" s="23" t="s">
        <v>55</v>
      </c>
      <c r="O178" s="23" t="s">
        <v>59</v>
      </c>
      <c r="P178" s="26" t="s">
        <v>60</v>
      </c>
      <c r="Q178" s="26">
        <v>1</v>
      </c>
      <c r="R178" s="26" t="s">
        <v>240</v>
      </c>
      <c r="S178" s="23">
        <v>1</v>
      </c>
      <c r="T178" s="23">
        <v>5</v>
      </c>
      <c r="U178" s="23" t="s">
        <v>721</v>
      </c>
      <c r="V178" s="23" t="s">
        <v>703</v>
      </c>
      <c r="W178" s="23"/>
      <c r="X178" s="23" t="e">
        <f>IF(COUNTIF(#REF!,_xlfn.TEXTJOIN(".",,C178,F178,H178)),"是","否")</f>
        <v>#REF!</v>
      </c>
      <c r="Y178" s="23" t="e">
        <f t="shared" ref="Y178:Y188" si="70">IF(AND(O178="底线指标",X178="是"),"是","否")</f>
        <v>#REF!</v>
      </c>
      <c r="Z178" s="23"/>
      <c r="AA178" s="23"/>
      <c r="AB178" s="23"/>
      <c r="AC178" s="23"/>
      <c r="AD178" s="23"/>
      <c r="AE178" s="23"/>
      <c r="AF178" s="23"/>
      <c r="AG178" s="23"/>
      <c r="AH178" s="23"/>
      <c r="AI178" s="23"/>
      <c r="AJ178" s="1" t="str">
        <f t="shared" ref="AJ178:AJ188" si="71">_xlfn.TEXTJOIN(".",TRUE,C178,F178,H178)</f>
        <v>SYS.DDOS.package,ip.ip_drop_rate</v>
      </c>
      <c r="AK178" s="1"/>
      <c r="AL178" s="1"/>
    </row>
    <row r="179" spans="1:38" hidden="1" x14ac:dyDescent="0.25">
      <c r="A179" s="24">
        <f t="shared" si="69"/>
        <v>178</v>
      </c>
      <c r="B179" s="25" t="s">
        <v>712</v>
      </c>
      <c r="C179" s="25" t="s">
        <v>713</v>
      </c>
      <c r="D179" s="25" t="s">
        <v>714</v>
      </c>
      <c r="E179" s="25" t="s">
        <v>722</v>
      </c>
      <c r="F179" s="25" t="s">
        <v>723</v>
      </c>
      <c r="G179" s="25" t="s">
        <v>724</v>
      </c>
      <c r="H179" s="25" t="s">
        <v>725</v>
      </c>
      <c r="I179" s="25" t="s">
        <v>726</v>
      </c>
      <c r="J179" s="25" t="s">
        <v>38</v>
      </c>
      <c r="K179" s="25">
        <v>300</v>
      </c>
      <c r="L179" s="25" t="s">
        <v>45</v>
      </c>
      <c r="M179" s="25" t="s">
        <v>43</v>
      </c>
      <c r="N179" s="23" t="s">
        <v>55</v>
      </c>
      <c r="O179" s="23" t="s">
        <v>59</v>
      </c>
      <c r="P179" s="26" t="s">
        <v>60</v>
      </c>
      <c r="Q179" s="26">
        <v>3</v>
      </c>
      <c r="R179" s="26" t="s">
        <v>334</v>
      </c>
      <c r="S179" s="23">
        <v>10</v>
      </c>
      <c r="T179" s="23">
        <v>20</v>
      </c>
      <c r="U179" s="23" t="s">
        <v>58</v>
      </c>
      <c r="V179" s="23" t="s">
        <v>703</v>
      </c>
      <c r="W179" s="23"/>
      <c r="X179" s="23" t="e">
        <f>IF(COUNTIF(#REF!,_xlfn.TEXTJOIN(".",,C179,F179,H179)),"是","否")</f>
        <v>#REF!</v>
      </c>
      <c r="Y179" s="23" t="e">
        <f t="shared" si="70"/>
        <v>#REF!</v>
      </c>
      <c r="Z179" s="23"/>
      <c r="AA179" s="23"/>
      <c r="AB179" s="23"/>
      <c r="AC179" s="23"/>
      <c r="AD179" s="23"/>
      <c r="AE179" s="23"/>
      <c r="AF179" s="23"/>
      <c r="AG179" s="23"/>
      <c r="AH179" s="23"/>
      <c r="AI179" s="23"/>
      <c r="AJ179" s="1" t="str">
        <f t="shared" si="71"/>
        <v>SYS.DDOS.web_name_id.http_num_5xx</v>
      </c>
      <c r="AK179" s="1"/>
      <c r="AL179" s="1"/>
    </row>
    <row r="180" spans="1:38" hidden="1" x14ac:dyDescent="0.25">
      <c r="A180" s="24">
        <f t="shared" si="69"/>
        <v>179</v>
      </c>
      <c r="B180" s="25" t="s">
        <v>712</v>
      </c>
      <c r="C180" s="25" t="s">
        <v>713</v>
      </c>
      <c r="D180" s="25" t="s">
        <v>714</v>
      </c>
      <c r="E180" s="25" t="s">
        <v>728</v>
      </c>
      <c r="F180" s="25" t="s">
        <v>729</v>
      </c>
      <c r="G180" s="25" t="s">
        <v>717</v>
      </c>
      <c r="H180" s="25" t="s">
        <v>718</v>
      </c>
      <c r="I180" s="25" t="s">
        <v>719</v>
      </c>
      <c r="J180" s="25" t="s">
        <v>38</v>
      </c>
      <c r="K180" s="25">
        <v>60</v>
      </c>
      <c r="L180" s="25" t="s">
        <v>39</v>
      </c>
      <c r="M180" s="25" t="s">
        <v>720</v>
      </c>
      <c r="N180" s="23" t="s">
        <v>55</v>
      </c>
      <c r="O180" s="23" t="s">
        <v>59</v>
      </c>
      <c r="P180" s="26" t="s">
        <v>60</v>
      </c>
      <c r="Q180" s="26">
        <v>1</v>
      </c>
      <c r="R180" s="26" t="s">
        <v>240</v>
      </c>
      <c r="S180" s="23">
        <v>1</v>
      </c>
      <c r="T180" s="23">
        <v>5</v>
      </c>
      <c r="U180" s="23" t="s">
        <v>721</v>
      </c>
      <c r="V180" s="23" t="s">
        <v>703</v>
      </c>
      <c r="W180" s="23"/>
      <c r="X180" s="23" t="e">
        <f>IF(COUNTIF(#REF!,_xlfn.TEXTJOIN(".",,C180,F180,H180)),"是","否")</f>
        <v>#REF!</v>
      </c>
      <c r="Y180" s="23" t="e">
        <f t="shared" si="70"/>
        <v>#REF!</v>
      </c>
      <c r="Z180" s="23"/>
      <c r="AA180" s="23"/>
      <c r="AB180" s="23"/>
      <c r="AC180" s="23"/>
      <c r="AD180" s="23"/>
      <c r="AE180" s="23"/>
      <c r="AF180" s="23"/>
      <c r="AG180" s="23"/>
      <c r="AH180" s="23"/>
      <c r="AI180" s="23"/>
      <c r="AJ180" s="1" t="str">
        <f t="shared" si="71"/>
        <v>SYS.DDOS.instance_id,zone_ip.ip_drop_rate</v>
      </c>
      <c r="AK180" s="1"/>
      <c r="AL180" s="1"/>
    </row>
    <row r="181" spans="1:38" hidden="1" x14ac:dyDescent="0.25">
      <c r="A181" s="24">
        <f t="shared" si="69"/>
        <v>180</v>
      </c>
      <c r="B181" s="25" t="s">
        <v>712</v>
      </c>
      <c r="C181" s="25" t="s">
        <v>713</v>
      </c>
      <c r="D181" s="25" t="s">
        <v>714</v>
      </c>
      <c r="E181" s="25" t="s">
        <v>728</v>
      </c>
      <c r="F181" s="25" t="s">
        <v>729</v>
      </c>
      <c r="G181" s="25" t="s">
        <v>727</v>
      </c>
      <c r="H181" s="25" t="s">
        <v>730</v>
      </c>
      <c r="I181" s="25" t="s">
        <v>731</v>
      </c>
      <c r="J181" s="25" t="s">
        <v>38</v>
      </c>
      <c r="K181" s="25">
        <v>300</v>
      </c>
      <c r="L181" s="25" t="s">
        <v>39</v>
      </c>
      <c r="M181" s="25" t="s">
        <v>58</v>
      </c>
      <c r="N181" s="23" t="s">
        <v>55</v>
      </c>
      <c r="O181" s="23" t="s">
        <v>59</v>
      </c>
      <c r="P181" s="26" t="s">
        <v>60</v>
      </c>
      <c r="Q181" s="26">
        <v>1</v>
      </c>
      <c r="R181" s="26" t="s">
        <v>240</v>
      </c>
      <c r="S181" s="23">
        <v>60</v>
      </c>
      <c r="T181" s="23">
        <v>90</v>
      </c>
      <c r="U181" s="23" t="s">
        <v>58</v>
      </c>
      <c r="V181" s="23" t="s">
        <v>703</v>
      </c>
      <c r="W181" s="23"/>
      <c r="X181" s="23" t="e">
        <f>IF(COUNTIF(#REF!,_xlfn.TEXTJOIN(".",,C181,F181,H181)),"是","否")</f>
        <v>#REF!</v>
      </c>
      <c r="Y181" s="23" t="e">
        <f t="shared" si="70"/>
        <v>#REF!</v>
      </c>
      <c r="Z181" s="23"/>
      <c r="AA181" s="23"/>
      <c r="AB181" s="23"/>
      <c r="AC181" s="23"/>
      <c r="AD181" s="23"/>
      <c r="AE181" s="23"/>
      <c r="AF181" s="23"/>
      <c r="AG181" s="23"/>
      <c r="AH181" s="23"/>
      <c r="AI181" s="23"/>
      <c r="AJ181" s="1" t="str">
        <f t="shared" si="71"/>
        <v>SYS.DDOS.instance_id,zone_ip.ip_service_bandwidth_usage</v>
      </c>
      <c r="AK181" s="1"/>
      <c r="AL181" s="1"/>
    </row>
    <row r="182" spans="1:38" hidden="1" x14ac:dyDescent="0.25">
      <c r="A182" s="24">
        <f t="shared" si="69"/>
        <v>181</v>
      </c>
      <c r="B182" s="25" t="s">
        <v>732</v>
      </c>
      <c r="C182" s="25" t="s">
        <v>733</v>
      </c>
      <c r="D182" s="25" t="s">
        <v>734</v>
      </c>
      <c r="E182" s="25" t="s">
        <v>732</v>
      </c>
      <c r="F182" s="25" t="s">
        <v>735</v>
      </c>
      <c r="G182" s="25" t="s">
        <v>36</v>
      </c>
      <c r="H182" s="25" t="s">
        <v>736</v>
      </c>
      <c r="I182" s="22" t="s">
        <v>737</v>
      </c>
      <c r="J182" s="22" t="s">
        <v>38</v>
      </c>
      <c r="K182" s="22">
        <v>60</v>
      </c>
      <c r="L182" s="22" t="s">
        <v>39</v>
      </c>
      <c r="M182" s="22" t="s">
        <v>40</v>
      </c>
      <c r="N182" s="23" t="s">
        <v>55</v>
      </c>
      <c r="O182" s="23" t="s">
        <v>59</v>
      </c>
      <c r="P182" s="23" t="s">
        <v>60</v>
      </c>
      <c r="Q182" s="23">
        <v>1</v>
      </c>
      <c r="R182" s="23" t="s">
        <v>331</v>
      </c>
      <c r="S182" s="23">
        <v>100</v>
      </c>
      <c r="T182" s="23"/>
      <c r="U182" s="22" t="s">
        <v>58</v>
      </c>
      <c r="V182" s="23" t="s">
        <v>62</v>
      </c>
      <c r="W182" s="23"/>
      <c r="X182" s="23" t="e">
        <f>IF(COUNTIF(#REF!,_xlfn.TEXTJOIN(".",,C182,F182,H182)),"是","否")</f>
        <v>#REF!</v>
      </c>
      <c r="Y182" s="23" t="e">
        <f t="shared" si="70"/>
        <v>#REF!</v>
      </c>
      <c r="Z182" s="23"/>
      <c r="AA182" s="23" t="s">
        <v>55</v>
      </c>
      <c r="AB182" s="23" t="s">
        <v>60</v>
      </c>
      <c r="AC182" s="23">
        <v>1</v>
      </c>
      <c r="AD182" s="23" t="s">
        <v>331</v>
      </c>
      <c r="AE182" s="23" t="s">
        <v>738</v>
      </c>
      <c r="AF182" s="23"/>
      <c r="AG182" s="23"/>
      <c r="AH182" s="23"/>
      <c r="AI182" s="23" t="s">
        <v>62</v>
      </c>
      <c r="AJ182" s="1" t="str">
        <f t="shared" si="71"/>
        <v>SYS.ER.er_instance_id.instance_bits_rate_in</v>
      </c>
      <c r="AK182" s="1"/>
      <c r="AL182" s="1"/>
    </row>
    <row r="183" spans="1:38" hidden="1" x14ac:dyDescent="0.25">
      <c r="A183" s="24">
        <f t="shared" si="69"/>
        <v>182</v>
      </c>
      <c r="B183" s="25" t="s">
        <v>732</v>
      </c>
      <c r="C183" s="25" t="s">
        <v>733</v>
      </c>
      <c r="D183" s="25" t="s">
        <v>734</v>
      </c>
      <c r="E183" s="25" t="s">
        <v>732</v>
      </c>
      <c r="F183" s="25" t="s">
        <v>735</v>
      </c>
      <c r="G183" s="25" t="s">
        <v>41</v>
      </c>
      <c r="H183" s="25" t="s">
        <v>740</v>
      </c>
      <c r="I183" s="22" t="s">
        <v>741</v>
      </c>
      <c r="J183" s="22" t="s">
        <v>38</v>
      </c>
      <c r="K183" s="22">
        <v>60</v>
      </c>
      <c r="L183" s="22" t="s">
        <v>39</v>
      </c>
      <c r="M183" s="22" t="s">
        <v>40</v>
      </c>
      <c r="N183" s="23" t="s">
        <v>55</v>
      </c>
      <c r="O183" s="23" t="s">
        <v>59</v>
      </c>
      <c r="P183" s="23" t="s">
        <v>60</v>
      </c>
      <c r="Q183" s="23">
        <v>1</v>
      </c>
      <c r="R183" s="23" t="s">
        <v>331</v>
      </c>
      <c r="S183" s="23">
        <v>100</v>
      </c>
      <c r="T183" s="23"/>
      <c r="U183" s="22" t="s">
        <v>58</v>
      </c>
      <c r="V183" s="23" t="s">
        <v>62</v>
      </c>
      <c r="W183" s="23"/>
      <c r="X183" s="23" t="e">
        <f>IF(COUNTIF(#REF!,_xlfn.TEXTJOIN(".",,C183,F183,H183)),"是","否")</f>
        <v>#REF!</v>
      </c>
      <c r="Y183" s="23" t="e">
        <f t="shared" si="70"/>
        <v>#REF!</v>
      </c>
      <c r="Z183" s="23"/>
      <c r="AA183" s="23" t="s">
        <v>55</v>
      </c>
      <c r="AB183" s="23" t="s">
        <v>60</v>
      </c>
      <c r="AC183" s="23">
        <v>1</v>
      </c>
      <c r="AD183" s="23" t="s">
        <v>331</v>
      </c>
      <c r="AE183" s="23" t="s">
        <v>738</v>
      </c>
      <c r="AF183" s="23"/>
      <c r="AG183" s="23"/>
      <c r="AH183" s="23"/>
      <c r="AI183" s="23" t="s">
        <v>62</v>
      </c>
      <c r="AJ183" s="1" t="str">
        <f t="shared" si="71"/>
        <v>SYS.ER.er_instance_id.instance_bits_rate_out</v>
      </c>
      <c r="AK183" s="1"/>
      <c r="AL183" s="1"/>
    </row>
    <row r="184" spans="1:38" hidden="1" x14ac:dyDescent="0.25">
      <c r="A184" s="24">
        <f t="shared" si="69"/>
        <v>183</v>
      </c>
      <c r="B184" s="25" t="s">
        <v>732</v>
      </c>
      <c r="C184" s="25" t="s">
        <v>733</v>
      </c>
      <c r="D184" s="25" t="s">
        <v>734</v>
      </c>
      <c r="E184" s="25" t="s">
        <v>732</v>
      </c>
      <c r="F184" s="25" t="s">
        <v>735</v>
      </c>
      <c r="G184" s="25" t="s">
        <v>743</v>
      </c>
      <c r="H184" s="25" t="s">
        <v>744</v>
      </c>
      <c r="I184" s="25" t="s">
        <v>745</v>
      </c>
      <c r="J184" s="25" t="s">
        <v>38</v>
      </c>
      <c r="K184" s="25">
        <v>60</v>
      </c>
      <c r="L184" s="25" t="s">
        <v>39</v>
      </c>
      <c r="M184" s="25" t="s">
        <v>43</v>
      </c>
      <c r="N184" s="23" t="s">
        <v>55</v>
      </c>
      <c r="O184" s="23" t="s">
        <v>59</v>
      </c>
      <c r="P184" s="23" t="s">
        <v>60</v>
      </c>
      <c r="Q184" s="23">
        <v>3</v>
      </c>
      <c r="R184" s="23" t="s">
        <v>61</v>
      </c>
      <c r="S184" s="23">
        <v>0</v>
      </c>
      <c r="T184" s="23"/>
      <c r="U184" s="22" t="s">
        <v>43</v>
      </c>
      <c r="V184" s="23" t="s">
        <v>62</v>
      </c>
      <c r="W184" s="23"/>
      <c r="X184" s="23" t="e">
        <f>IF(COUNTIF(#REF!,_xlfn.TEXTJOIN(".",,C184,F184,H184)),"是","否")</f>
        <v>#REF!</v>
      </c>
      <c r="Y184" s="23" t="e">
        <f t="shared" si="70"/>
        <v>#REF!</v>
      </c>
      <c r="Z184" s="23"/>
      <c r="AA184" s="23" t="s">
        <v>55</v>
      </c>
      <c r="AB184" s="23" t="s">
        <v>60</v>
      </c>
      <c r="AC184" s="23">
        <v>3</v>
      </c>
      <c r="AD184" s="23" t="s">
        <v>61</v>
      </c>
      <c r="AE184" s="23">
        <v>0</v>
      </c>
      <c r="AF184" s="23"/>
      <c r="AG184" s="23"/>
      <c r="AH184" s="23"/>
      <c r="AI184" s="23" t="s">
        <v>62</v>
      </c>
      <c r="AJ184" s="1" t="str">
        <f t="shared" si="71"/>
        <v>SYS.ER.er_instance_id.instance_packets_drop_noroute</v>
      </c>
      <c r="AK184" s="1"/>
      <c r="AL184" s="1"/>
    </row>
    <row r="185" spans="1:38" hidden="1" x14ac:dyDescent="0.25">
      <c r="A185" s="24">
        <f t="shared" si="69"/>
        <v>184</v>
      </c>
      <c r="B185" s="25" t="s">
        <v>746</v>
      </c>
      <c r="C185" s="25" t="s">
        <v>747</v>
      </c>
      <c r="D185" s="25" t="s">
        <v>748</v>
      </c>
      <c r="E185" s="25" t="s">
        <v>749</v>
      </c>
      <c r="F185" s="25" t="s">
        <v>750</v>
      </c>
      <c r="G185" s="25" t="s">
        <v>751</v>
      </c>
      <c r="H185" s="25" t="s">
        <v>752</v>
      </c>
      <c r="I185" s="25" t="s">
        <v>164</v>
      </c>
      <c r="J185" s="25" t="s">
        <v>38</v>
      </c>
      <c r="K185" s="25">
        <v>60</v>
      </c>
      <c r="L185" s="25" t="s">
        <v>39</v>
      </c>
      <c r="M185" s="25" t="s">
        <v>82</v>
      </c>
      <c r="N185" s="23" t="s">
        <v>55</v>
      </c>
      <c r="O185" s="23" t="s">
        <v>59</v>
      </c>
      <c r="P185" s="23" t="s">
        <v>60</v>
      </c>
      <c r="Q185" s="23">
        <v>1</v>
      </c>
      <c r="R185" s="23" t="s">
        <v>331</v>
      </c>
      <c r="S185" s="23">
        <v>100</v>
      </c>
      <c r="T185" s="23"/>
      <c r="U185" s="23" t="s">
        <v>58</v>
      </c>
      <c r="V185" s="23" t="s">
        <v>753</v>
      </c>
      <c r="W185" s="23"/>
      <c r="X185" s="23" t="e">
        <f>IF(COUNTIF(#REF!,_xlfn.TEXTJOIN(".",,C185,F185,H185)),"是","否")</f>
        <v>#REF!</v>
      </c>
      <c r="Y185" s="23" t="e">
        <f t="shared" si="70"/>
        <v>#REF!</v>
      </c>
      <c r="Z185" s="23" t="s">
        <v>55</v>
      </c>
      <c r="AA185" s="27" t="s">
        <v>55</v>
      </c>
      <c r="AB185" s="27" t="s">
        <v>60</v>
      </c>
      <c r="AC185" s="27">
        <v>1</v>
      </c>
      <c r="AD185" s="27" t="s">
        <v>331</v>
      </c>
      <c r="AE185" s="27">
        <v>1</v>
      </c>
      <c r="AF185" s="27"/>
      <c r="AG185" s="27"/>
      <c r="AH185" s="27"/>
      <c r="AI185" s="27" t="s">
        <v>62</v>
      </c>
      <c r="AJ185" s="1" t="str">
        <f t="shared" si="71"/>
        <v>SYS.SFS.bucket_name.read_bytes_intranet</v>
      </c>
      <c r="AK185" s="1" t="s">
        <v>302</v>
      </c>
      <c r="AL185" s="1"/>
    </row>
    <row r="186" spans="1:38" hidden="1" x14ac:dyDescent="0.25">
      <c r="A186" s="24">
        <f t="shared" si="69"/>
        <v>185</v>
      </c>
      <c r="B186" s="25" t="s">
        <v>746</v>
      </c>
      <c r="C186" s="25" t="s">
        <v>747</v>
      </c>
      <c r="D186" s="25" t="s">
        <v>748</v>
      </c>
      <c r="E186" s="25" t="s">
        <v>749</v>
      </c>
      <c r="F186" s="25" t="s">
        <v>750</v>
      </c>
      <c r="G186" s="25" t="s">
        <v>754</v>
      </c>
      <c r="H186" s="25" t="s">
        <v>755</v>
      </c>
      <c r="I186" s="25" t="s">
        <v>165</v>
      </c>
      <c r="J186" s="25" t="s">
        <v>38</v>
      </c>
      <c r="K186" s="25">
        <v>60</v>
      </c>
      <c r="L186" s="25" t="s">
        <v>39</v>
      </c>
      <c r="M186" s="25" t="s">
        <v>82</v>
      </c>
      <c r="N186" s="23" t="s">
        <v>55</v>
      </c>
      <c r="O186" s="23" t="s">
        <v>59</v>
      </c>
      <c r="P186" s="23" t="s">
        <v>60</v>
      </c>
      <c r="Q186" s="23">
        <v>1</v>
      </c>
      <c r="R186" s="23" t="s">
        <v>331</v>
      </c>
      <c r="S186" s="23">
        <v>100</v>
      </c>
      <c r="T186" s="23"/>
      <c r="U186" s="23" t="s">
        <v>58</v>
      </c>
      <c r="V186" s="23" t="s">
        <v>753</v>
      </c>
      <c r="W186" s="23"/>
      <c r="X186" s="23" t="e">
        <f>IF(COUNTIF(#REF!,_xlfn.TEXTJOIN(".",,C186,F186,H186)),"是","否")</f>
        <v>#REF!</v>
      </c>
      <c r="Y186" s="23" t="e">
        <f t="shared" si="70"/>
        <v>#REF!</v>
      </c>
      <c r="Z186" s="23" t="s">
        <v>55</v>
      </c>
      <c r="AA186" s="27" t="s">
        <v>55</v>
      </c>
      <c r="AB186" s="27" t="s">
        <v>60</v>
      </c>
      <c r="AC186" s="27">
        <v>1</v>
      </c>
      <c r="AD186" s="27" t="s">
        <v>331</v>
      </c>
      <c r="AE186" s="27">
        <v>1</v>
      </c>
      <c r="AF186" s="27"/>
      <c r="AG186" s="27"/>
      <c r="AH186" s="27"/>
      <c r="AI186" s="27" t="s">
        <v>62</v>
      </c>
      <c r="AJ186" s="1" t="str">
        <f t="shared" si="71"/>
        <v>SYS.SFS.bucket_name.write_bytes_intranet</v>
      </c>
      <c r="AK186" s="1" t="s">
        <v>302</v>
      </c>
      <c r="AL186" s="1"/>
    </row>
    <row r="187" spans="1:38" hidden="1" x14ac:dyDescent="0.25">
      <c r="A187" s="24">
        <f t="shared" si="69"/>
        <v>186</v>
      </c>
      <c r="B187" s="25" t="s">
        <v>746</v>
      </c>
      <c r="C187" s="25" t="s">
        <v>747</v>
      </c>
      <c r="D187" s="25" t="s">
        <v>748</v>
      </c>
      <c r="E187" s="25" t="s">
        <v>749</v>
      </c>
      <c r="F187" s="25" t="s">
        <v>750</v>
      </c>
      <c r="G187" s="25" t="s">
        <v>756</v>
      </c>
      <c r="H187" s="25" t="s">
        <v>757</v>
      </c>
      <c r="I187" s="25" t="s">
        <v>758</v>
      </c>
      <c r="J187" s="25" t="s">
        <v>38</v>
      </c>
      <c r="K187" s="25">
        <v>60</v>
      </c>
      <c r="L187" s="25" t="s">
        <v>45</v>
      </c>
      <c r="M187" s="25" t="s">
        <v>83</v>
      </c>
      <c r="N187" s="23" t="s">
        <v>55</v>
      </c>
      <c r="O187" s="23" t="s">
        <v>59</v>
      </c>
      <c r="P187" s="23" t="s">
        <v>60</v>
      </c>
      <c r="Q187" s="23">
        <v>1</v>
      </c>
      <c r="R187" s="23" t="s">
        <v>331</v>
      </c>
      <c r="S187" s="23">
        <v>100</v>
      </c>
      <c r="T187" s="23"/>
      <c r="U187" s="23" t="s">
        <v>58</v>
      </c>
      <c r="V187" s="23" t="s">
        <v>753</v>
      </c>
      <c r="W187" s="23"/>
      <c r="X187" s="23" t="e">
        <f>IF(COUNTIF(#REF!,_xlfn.TEXTJOIN(".",,C187,F187,H187)),"是","否")</f>
        <v>#REF!</v>
      </c>
      <c r="Y187" s="23" t="e">
        <f t="shared" si="70"/>
        <v>#REF!</v>
      </c>
      <c r="Z187" s="23" t="s">
        <v>55</v>
      </c>
      <c r="AA187" s="27" t="s">
        <v>55</v>
      </c>
      <c r="AB187" s="27" t="s">
        <v>60</v>
      </c>
      <c r="AC187" s="27">
        <v>1</v>
      </c>
      <c r="AD187" s="27" t="s">
        <v>331</v>
      </c>
      <c r="AE187" s="27">
        <v>1</v>
      </c>
      <c r="AF187" s="27"/>
      <c r="AG187" s="27"/>
      <c r="AH187" s="27"/>
      <c r="AI187" s="27" t="s">
        <v>62</v>
      </c>
      <c r="AJ187" s="1" t="str">
        <f t="shared" si="71"/>
        <v>SYS.SFS.bucket_name.read_tps</v>
      </c>
      <c r="AK187" s="1" t="s">
        <v>302</v>
      </c>
      <c r="AL187" s="1"/>
    </row>
    <row r="188" spans="1:38" hidden="1" x14ac:dyDescent="0.25">
      <c r="A188" s="24">
        <f t="shared" si="69"/>
        <v>187</v>
      </c>
      <c r="B188" s="25" t="s">
        <v>746</v>
      </c>
      <c r="C188" s="25" t="s">
        <v>747</v>
      </c>
      <c r="D188" s="25" t="s">
        <v>748</v>
      </c>
      <c r="E188" s="25" t="s">
        <v>749</v>
      </c>
      <c r="F188" s="25" t="s">
        <v>750</v>
      </c>
      <c r="G188" s="25" t="s">
        <v>759</v>
      </c>
      <c r="H188" s="25" t="s">
        <v>760</v>
      </c>
      <c r="I188" s="25" t="s">
        <v>761</v>
      </c>
      <c r="J188" s="25" t="s">
        <v>38</v>
      </c>
      <c r="K188" s="25">
        <v>60</v>
      </c>
      <c r="L188" s="25" t="s">
        <v>45</v>
      </c>
      <c r="M188" s="25" t="s">
        <v>83</v>
      </c>
      <c r="N188" s="23" t="s">
        <v>55</v>
      </c>
      <c r="O188" s="23" t="s">
        <v>59</v>
      </c>
      <c r="P188" s="23" t="s">
        <v>60</v>
      </c>
      <c r="Q188" s="23">
        <v>1</v>
      </c>
      <c r="R188" s="23" t="s">
        <v>331</v>
      </c>
      <c r="S188" s="23">
        <v>100</v>
      </c>
      <c r="T188" s="23"/>
      <c r="U188" s="23" t="s">
        <v>58</v>
      </c>
      <c r="V188" s="23" t="s">
        <v>753</v>
      </c>
      <c r="W188" s="23"/>
      <c r="X188" s="23" t="e">
        <f>IF(COUNTIF(#REF!,_xlfn.TEXTJOIN(".",,C188,F188,H188)),"是","否")</f>
        <v>#REF!</v>
      </c>
      <c r="Y188" s="23" t="e">
        <f t="shared" si="70"/>
        <v>#REF!</v>
      </c>
      <c r="Z188" s="23" t="s">
        <v>55</v>
      </c>
      <c r="AA188" s="27" t="s">
        <v>55</v>
      </c>
      <c r="AB188" s="27" t="s">
        <v>60</v>
      </c>
      <c r="AC188" s="27">
        <v>1</v>
      </c>
      <c r="AD188" s="27" t="s">
        <v>331</v>
      </c>
      <c r="AE188" s="27">
        <v>1</v>
      </c>
      <c r="AF188" s="27"/>
      <c r="AG188" s="27"/>
      <c r="AH188" s="27"/>
      <c r="AI188" s="27" t="s">
        <v>62</v>
      </c>
      <c r="AJ188" s="1" t="str">
        <f t="shared" si="71"/>
        <v>SYS.SFS.bucket_name.write_tps</v>
      </c>
      <c r="AK188" s="1" t="s">
        <v>302</v>
      </c>
      <c r="AL188" s="1"/>
    </row>
    <row r="189" spans="1:38" hidden="1" x14ac:dyDescent="0.25">
      <c r="A189" s="24">
        <f t="shared" ref="A189:A196" si="72">ROW()-1</f>
        <v>188</v>
      </c>
      <c r="B189" s="25" t="s">
        <v>762</v>
      </c>
      <c r="C189" s="25" t="s">
        <v>763</v>
      </c>
      <c r="D189" s="27" t="s">
        <v>764</v>
      </c>
      <c r="E189" s="25" t="s">
        <v>765</v>
      </c>
      <c r="F189" s="25" t="s">
        <v>766</v>
      </c>
      <c r="G189" s="25" t="s">
        <v>48</v>
      </c>
      <c r="H189" s="25" t="s">
        <v>142</v>
      </c>
      <c r="I189" s="25" t="s">
        <v>770</v>
      </c>
      <c r="J189" s="25" t="s">
        <v>38</v>
      </c>
      <c r="K189" s="25">
        <v>60</v>
      </c>
      <c r="L189" s="25" t="s">
        <v>39</v>
      </c>
      <c r="M189" s="25" t="s">
        <v>141</v>
      </c>
      <c r="N189" s="23" t="s">
        <v>55</v>
      </c>
      <c r="O189" s="23" t="s">
        <v>59</v>
      </c>
      <c r="P189" s="23" t="s">
        <v>60</v>
      </c>
      <c r="Q189" s="23">
        <v>1</v>
      </c>
      <c r="R189" s="23" t="s">
        <v>334</v>
      </c>
      <c r="S189" s="23">
        <v>20</v>
      </c>
      <c r="T189" s="23">
        <v>30</v>
      </c>
      <c r="U189" s="23" t="s">
        <v>58</v>
      </c>
      <c r="V189" s="23" t="s">
        <v>62</v>
      </c>
      <c r="W189" s="23"/>
      <c r="X189" s="23" t="e">
        <f>IF(COUNTIF(#REF!,_xlfn.TEXTJOIN(".",,C189,F189,H189)),"是","否")</f>
        <v>#REF!</v>
      </c>
      <c r="Y189" s="23" t="e">
        <f t="shared" ref="Y189:Y196" si="73">IF(AND(O189="底线指标",X189="是"),"是","否")</f>
        <v>#REF!</v>
      </c>
      <c r="Z189" s="23" t="s">
        <v>55</v>
      </c>
      <c r="AA189" s="27" t="s">
        <v>55</v>
      </c>
      <c r="AB189" s="27" t="s">
        <v>60</v>
      </c>
      <c r="AC189" s="27">
        <v>1</v>
      </c>
      <c r="AD189" s="27" t="s">
        <v>334</v>
      </c>
      <c r="AE189" s="27" t="s">
        <v>333</v>
      </c>
      <c r="AF189" s="27" t="s">
        <v>767</v>
      </c>
      <c r="AG189" s="27" t="s">
        <v>769</v>
      </c>
      <c r="AH189" s="27" t="s">
        <v>58</v>
      </c>
      <c r="AI189" s="27" t="s">
        <v>62</v>
      </c>
      <c r="AJ189" s="1" t="str">
        <f t="shared" ref="AJ189:AJ196" si="74">_xlfn.TEXTJOIN(".",TRUE,C189,F189,H189)</f>
        <v>SYS.APIC.instance_id,api_id.req_count_5xx</v>
      </c>
      <c r="AK189" s="1" t="s">
        <v>302</v>
      </c>
      <c r="AL189" s="1"/>
    </row>
    <row r="190" spans="1:38" hidden="1" x14ac:dyDescent="0.25">
      <c r="A190" s="24">
        <f t="shared" si="72"/>
        <v>189</v>
      </c>
      <c r="B190" s="25" t="s">
        <v>762</v>
      </c>
      <c r="C190" s="25" t="s">
        <v>763</v>
      </c>
      <c r="D190" s="27" t="s">
        <v>764</v>
      </c>
      <c r="E190" s="25" t="s">
        <v>765</v>
      </c>
      <c r="F190" s="25" t="s">
        <v>766</v>
      </c>
      <c r="G190" s="25" t="s">
        <v>378</v>
      </c>
      <c r="H190" s="25" t="s">
        <v>140</v>
      </c>
      <c r="I190" s="25" t="s">
        <v>771</v>
      </c>
      <c r="J190" s="25" t="s">
        <v>38</v>
      </c>
      <c r="K190" s="25">
        <v>60</v>
      </c>
      <c r="L190" s="25" t="s">
        <v>39</v>
      </c>
      <c r="M190" s="25" t="s">
        <v>44</v>
      </c>
      <c r="N190" s="23" t="s">
        <v>55</v>
      </c>
      <c r="O190" s="23" t="s">
        <v>59</v>
      </c>
      <c r="P190" s="23" t="s">
        <v>60</v>
      </c>
      <c r="Q190" s="23">
        <v>3</v>
      </c>
      <c r="R190" s="23" t="s">
        <v>240</v>
      </c>
      <c r="S190" s="23">
        <v>3000</v>
      </c>
      <c r="T190" s="23">
        <v>5000</v>
      </c>
      <c r="U190" s="23" t="s">
        <v>44</v>
      </c>
      <c r="V190" s="23" t="s">
        <v>62</v>
      </c>
      <c r="W190" s="23"/>
      <c r="X190" s="23" t="e">
        <f>IF(COUNTIF(#REF!,_xlfn.TEXTJOIN(".",,C190,F190,H190)),"是","否")</f>
        <v>#REF!</v>
      </c>
      <c r="Y190" s="23" t="e">
        <f t="shared" si="73"/>
        <v>#REF!</v>
      </c>
      <c r="Z190" s="23" t="s">
        <v>55</v>
      </c>
      <c r="AA190" s="27" t="s">
        <v>55</v>
      </c>
      <c r="AB190" s="27" t="s">
        <v>60</v>
      </c>
      <c r="AC190" s="27">
        <v>1</v>
      </c>
      <c r="AD190" s="27" t="s">
        <v>334</v>
      </c>
      <c r="AE190" s="27" t="s">
        <v>333</v>
      </c>
      <c r="AF190" s="27" t="s">
        <v>768</v>
      </c>
      <c r="AG190" s="27" t="s">
        <v>769</v>
      </c>
      <c r="AH190" s="27" t="s">
        <v>58</v>
      </c>
      <c r="AI190" s="27" t="s">
        <v>62</v>
      </c>
      <c r="AJ190" s="1" t="str">
        <f t="shared" si="74"/>
        <v>SYS.APIC.instance_id,api_id.avg_latency</v>
      </c>
      <c r="AK190" s="1" t="s">
        <v>302</v>
      </c>
      <c r="AL190" s="1"/>
    </row>
    <row r="191" spans="1:38" hidden="1" x14ac:dyDescent="0.25">
      <c r="A191" s="24">
        <f t="shared" si="72"/>
        <v>190</v>
      </c>
      <c r="B191" s="25" t="s">
        <v>762</v>
      </c>
      <c r="C191" s="25" t="s">
        <v>763</v>
      </c>
      <c r="D191" s="27" t="s">
        <v>764</v>
      </c>
      <c r="E191" s="25" t="s">
        <v>772</v>
      </c>
      <c r="F191" s="25" t="s">
        <v>773</v>
      </c>
      <c r="G191" s="25" t="s">
        <v>774</v>
      </c>
      <c r="H191" s="25" t="s">
        <v>775</v>
      </c>
      <c r="I191" s="25" t="s">
        <v>776</v>
      </c>
      <c r="J191" s="25" t="s">
        <v>38</v>
      </c>
      <c r="K191" s="25">
        <v>60</v>
      </c>
      <c r="L191" s="25" t="s">
        <v>45</v>
      </c>
      <c r="M191" s="25" t="s">
        <v>172</v>
      </c>
      <c r="N191" s="23" t="s">
        <v>55</v>
      </c>
      <c r="O191" s="23" t="s">
        <v>59</v>
      </c>
      <c r="P191" s="23" t="s">
        <v>60</v>
      </c>
      <c r="Q191" s="23">
        <v>3</v>
      </c>
      <c r="R191" s="23" t="s">
        <v>136</v>
      </c>
      <c r="S191" s="23">
        <v>2</v>
      </c>
      <c r="T191" s="23">
        <v>3</v>
      </c>
      <c r="U191" s="23" t="s">
        <v>172</v>
      </c>
      <c r="V191" s="23" t="s">
        <v>62</v>
      </c>
      <c r="W191" s="23"/>
      <c r="X191" s="23" t="e">
        <f>IF(COUNTIF(#REF!,_xlfn.TEXTJOIN(".",,C191,F191,H191)),"是","否")</f>
        <v>#REF!</v>
      </c>
      <c r="Y191" s="23" t="e">
        <f t="shared" si="73"/>
        <v>#REF!</v>
      </c>
      <c r="Z191" s="23" t="s">
        <v>55</v>
      </c>
      <c r="AA191" s="27" t="s">
        <v>55</v>
      </c>
      <c r="AB191" s="27" t="s">
        <v>60</v>
      </c>
      <c r="AC191" s="27">
        <v>3</v>
      </c>
      <c r="AD191" s="27" t="s">
        <v>136</v>
      </c>
      <c r="AE191" s="27">
        <v>2</v>
      </c>
      <c r="AF191" s="27">
        <v>3</v>
      </c>
      <c r="AG191" s="27"/>
      <c r="AH191" s="27"/>
      <c r="AI191" s="27" t="s">
        <v>62</v>
      </c>
      <c r="AJ191" s="1" t="str">
        <f t="shared" si="74"/>
        <v>SYS.APIC.instance_id,node_ip.node_system_load</v>
      </c>
      <c r="AK191" s="1" t="s">
        <v>152</v>
      </c>
      <c r="AL191" s="1"/>
    </row>
    <row r="192" spans="1:38" hidden="1" x14ac:dyDescent="0.25">
      <c r="A192" s="24">
        <f t="shared" si="72"/>
        <v>191</v>
      </c>
      <c r="B192" s="25" t="s">
        <v>762</v>
      </c>
      <c r="C192" s="25" t="s">
        <v>763</v>
      </c>
      <c r="D192" s="27" t="s">
        <v>764</v>
      </c>
      <c r="E192" s="25" t="s">
        <v>772</v>
      </c>
      <c r="F192" s="25" t="s">
        <v>773</v>
      </c>
      <c r="G192" s="25" t="s">
        <v>777</v>
      </c>
      <c r="H192" s="25" t="s">
        <v>778</v>
      </c>
      <c r="I192" s="25" t="s">
        <v>779</v>
      </c>
      <c r="J192" s="25" t="s">
        <v>38</v>
      </c>
      <c r="K192" s="25">
        <v>60</v>
      </c>
      <c r="L192" s="25" t="s">
        <v>39</v>
      </c>
      <c r="M192" s="25" t="s">
        <v>58</v>
      </c>
      <c r="N192" s="23" t="s">
        <v>55</v>
      </c>
      <c r="O192" s="23" t="s">
        <v>59</v>
      </c>
      <c r="P192" s="23" t="s">
        <v>60</v>
      </c>
      <c r="Q192" s="23">
        <v>3</v>
      </c>
      <c r="R192" s="23" t="s">
        <v>61</v>
      </c>
      <c r="S192" s="23">
        <v>30</v>
      </c>
      <c r="T192" s="23">
        <v>60</v>
      </c>
      <c r="U192" s="23" t="s">
        <v>58</v>
      </c>
      <c r="V192" s="23" t="s">
        <v>62</v>
      </c>
      <c r="W192" s="23"/>
      <c r="X192" s="23" t="e">
        <f>IF(COUNTIF(#REF!,_xlfn.TEXTJOIN(".",,C192,F192,H192)),"是","否")</f>
        <v>#REF!</v>
      </c>
      <c r="Y192" s="23" t="e">
        <f t="shared" si="73"/>
        <v>#REF!</v>
      </c>
      <c r="Z192" s="23" t="s">
        <v>55</v>
      </c>
      <c r="AA192" s="27" t="s">
        <v>55</v>
      </c>
      <c r="AB192" s="27" t="s">
        <v>60</v>
      </c>
      <c r="AC192" s="27">
        <v>3</v>
      </c>
      <c r="AD192" s="27" t="s">
        <v>61</v>
      </c>
      <c r="AE192" s="27">
        <v>30</v>
      </c>
      <c r="AF192" s="27">
        <v>60</v>
      </c>
      <c r="AG192" s="27"/>
      <c r="AH192" s="27" t="s">
        <v>58</v>
      </c>
      <c r="AI192" s="27" t="s">
        <v>62</v>
      </c>
      <c r="AJ192" s="1" t="str">
        <f t="shared" si="74"/>
        <v>SYS.APIC.instance_id,node_ip.node_cpu_usage</v>
      </c>
      <c r="AK192" s="1" t="s">
        <v>152</v>
      </c>
      <c r="AL192" s="1"/>
    </row>
    <row r="193" spans="1:38" hidden="1" x14ac:dyDescent="0.25">
      <c r="A193" s="24">
        <f t="shared" si="72"/>
        <v>192</v>
      </c>
      <c r="B193" s="25" t="s">
        <v>762</v>
      </c>
      <c r="C193" s="25" t="s">
        <v>763</v>
      </c>
      <c r="D193" s="27" t="s">
        <v>764</v>
      </c>
      <c r="E193" s="25" t="s">
        <v>772</v>
      </c>
      <c r="F193" s="25" t="s">
        <v>773</v>
      </c>
      <c r="G193" s="25" t="s">
        <v>780</v>
      </c>
      <c r="H193" s="25" t="s">
        <v>781</v>
      </c>
      <c r="I193" s="25" t="s">
        <v>782</v>
      </c>
      <c r="J193" s="25" t="s">
        <v>38</v>
      </c>
      <c r="K193" s="25">
        <v>60</v>
      </c>
      <c r="L193" s="25" t="s">
        <v>39</v>
      </c>
      <c r="M193" s="25" t="s">
        <v>58</v>
      </c>
      <c r="N193" s="23" t="s">
        <v>55</v>
      </c>
      <c r="O193" s="23" t="s">
        <v>59</v>
      </c>
      <c r="P193" s="23" t="s">
        <v>60</v>
      </c>
      <c r="Q193" s="23">
        <v>3</v>
      </c>
      <c r="R193" s="23" t="s">
        <v>61</v>
      </c>
      <c r="S193" s="23">
        <v>30</v>
      </c>
      <c r="T193" s="23">
        <v>60</v>
      </c>
      <c r="U193" s="23" t="s">
        <v>58</v>
      </c>
      <c r="V193" s="23" t="s">
        <v>62</v>
      </c>
      <c r="W193" s="23"/>
      <c r="X193" s="23" t="e">
        <f>IF(COUNTIF(#REF!,_xlfn.TEXTJOIN(".",,C193,F193,H193)),"是","否")</f>
        <v>#REF!</v>
      </c>
      <c r="Y193" s="23" t="e">
        <f t="shared" si="73"/>
        <v>#REF!</v>
      </c>
      <c r="Z193" s="23" t="s">
        <v>55</v>
      </c>
      <c r="AA193" s="27" t="s">
        <v>55</v>
      </c>
      <c r="AB193" s="27" t="s">
        <v>60</v>
      </c>
      <c r="AC193" s="27">
        <v>3</v>
      </c>
      <c r="AD193" s="27" t="s">
        <v>61</v>
      </c>
      <c r="AE193" s="27">
        <v>30</v>
      </c>
      <c r="AF193" s="27">
        <v>60</v>
      </c>
      <c r="AG193" s="27"/>
      <c r="AH193" s="27" t="s">
        <v>58</v>
      </c>
      <c r="AI193" s="27" t="s">
        <v>62</v>
      </c>
      <c r="AJ193" s="1" t="str">
        <f t="shared" si="74"/>
        <v>SYS.APIC.instance_id,node_ip.node_memory_usage</v>
      </c>
      <c r="AK193" s="1" t="s">
        <v>152</v>
      </c>
      <c r="AL193" s="1"/>
    </row>
    <row r="194" spans="1:38" hidden="1" x14ac:dyDescent="0.25">
      <c r="A194" s="24">
        <f t="shared" si="72"/>
        <v>193</v>
      </c>
      <c r="B194" s="25" t="s">
        <v>762</v>
      </c>
      <c r="C194" s="25" t="s">
        <v>763</v>
      </c>
      <c r="D194" s="27" t="s">
        <v>764</v>
      </c>
      <c r="E194" s="25" t="s">
        <v>162</v>
      </c>
      <c r="F194" s="25" t="s">
        <v>71</v>
      </c>
      <c r="G194" s="25" t="s">
        <v>784</v>
      </c>
      <c r="H194" s="25" t="s">
        <v>49</v>
      </c>
      <c r="I194" s="25" t="s">
        <v>785</v>
      </c>
      <c r="J194" s="25" t="s">
        <v>38</v>
      </c>
      <c r="K194" s="25">
        <v>60</v>
      </c>
      <c r="L194" s="25" t="s">
        <v>39</v>
      </c>
      <c r="M194" s="25" t="s">
        <v>141</v>
      </c>
      <c r="N194" s="23" t="s">
        <v>55</v>
      </c>
      <c r="O194" s="23" t="s">
        <v>59</v>
      </c>
      <c r="P194" s="23" t="s">
        <v>60</v>
      </c>
      <c r="Q194" s="23">
        <v>1</v>
      </c>
      <c r="R194" s="23" t="s">
        <v>334</v>
      </c>
      <c r="S194" s="23">
        <v>20</v>
      </c>
      <c r="T194" s="23">
        <v>30</v>
      </c>
      <c r="U194" s="23" t="s">
        <v>58</v>
      </c>
      <c r="V194" s="23" t="s">
        <v>62</v>
      </c>
      <c r="W194" s="23"/>
      <c r="X194" s="23" t="e">
        <f>IF(COUNTIF(#REF!,_xlfn.TEXTJOIN(".",,C194,F194,H194)),"是","否")</f>
        <v>#REF!</v>
      </c>
      <c r="Y194" s="23" t="e">
        <f t="shared" si="73"/>
        <v>#REF!</v>
      </c>
      <c r="Z194" s="23" t="s">
        <v>55</v>
      </c>
      <c r="AA194" s="27" t="s">
        <v>55</v>
      </c>
      <c r="AB194" s="27" t="s">
        <v>60</v>
      </c>
      <c r="AC194" s="27">
        <v>1</v>
      </c>
      <c r="AD194" s="27" t="s">
        <v>334</v>
      </c>
      <c r="AE194" s="27" t="s">
        <v>333</v>
      </c>
      <c r="AF194" s="27" t="s">
        <v>767</v>
      </c>
      <c r="AG194" s="27" t="s">
        <v>769</v>
      </c>
      <c r="AH194" s="27" t="s">
        <v>58</v>
      </c>
      <c r="AI194" s="27" t="s">
        <v>62</v>
      </c>
      <c r="AJ194" s="1" t="str">
        <f t="shared" si="74"/>
        <v>SYS.APIC.instance_id.error_5xx</v>
      </c>
      <c r="AK194" s="1" t="s">
        <v>302</v>
      </c>
      <c r="AL194" s="1"/>
    </row>
    <row r="195" spans="1:38" hidden="1" x14ac:dyDescent="0.25">
      <c r="A195" s="24">
        <f t="shared" si="72"/>
        <v>194</v>
      </c>
      <c r="B195" s="25" t="s">
        <v>762</v>
      </c>
      <c r="C195" s="25" t="s">
        <v>763</v>
      </c>
      <c r="D195" s="27" t="s">
        <v>764</v>
      </c>
      <c r="E195" s="25" t="s">
        <v>162</v>
      </c>
      <c r="F195" s="25" t="s">
        <v>71</v>
      </c>
      <c r="G195" s="25" t="s">
        <v>786</v>
      </c>
      <c r="H195" s="25" t="s">
        <v>787</v>
      </c>
      <c r="I195" s="25" t="s">
        <v>788</v>
      </c>
      <c r="J195" s="25" t="s">
        <v>38</v>
      </c>
      <c r="K195" s="25">
        <v>60</v>
      </c>
      <c r="L195" s="25" t="s">
        <v>39</v>
      </c>
      <c r="M195" s="25" t="s">
        <v>141</v>
      </c>
      <c r="N195" s="23" t="s">
        <v>55</v>
      </c>
      <c r="O195" s="23" t="s">
        <v>59</v>
      </c>
      <c r="P195" s="23" t="s">
        <v>60</v>
      </c>
      <c r="Q195" s="23">
        <v>1</v>
      </c>
      <c r="R195" s="23" t="s">
        <v>334</v>
      </c>
      <c r="S195" s="23">
        <v>50</v>
      </c>
      <c r="T195" s="23">
        <v>70</v>
      </c>
      <c r="U195" s="23" t="s">
        <v>58</v>
      </c>
      <c r="V195" s="23" t="s">
        <v>62</v>
      </c>
      <c r="W195" s="23"/>
      <c r="X195" s="23" t="e">
        <f>IF(COUNTIF(#REF!,_xlfn.TEXTJOIN(".",,C195,F195,H195)),"是","否")</f>
        <v>#REF!</v>
      </c>
      <c r="Y195" s="23" t="e">
        <f t="shared" si="73"/>
        <v>#REF!</v>
      </c>
      <c r="Z195" s="23" t="s">
        <v>55</v>
      </c>
      <c r="AA195" s="27" t="s">
        <v>55</v>
      </c>
      <c r="AB195" s="27" t="s">
        <v>60</v>
      </c>
      <c r="AC195" s="27">
        <v>1</v>
      </c>
      <c r="AD195" s="27" t="s">
        <v>334</v>
      </c>
      <c r="AE195" s="27" t="s">
        <v>768</v>
      </c>
      <c r="AF195" s="27" t="s">
        <v>789</v>
      </c>
      <c r="AG195" s="27" t="s">
        <v>769</v>
      </c>
      <c r="AH195" s="27" t="s">
        <v>58</v>
      </c>
      <c r="AI195" s="27" t="s">
        <v>62</v>
      </c>
      <c r="AJ195" s="1" t="str">
        <f t="shared" si="74"/>
        <v>SYS.APIC.instance_id.throttled_calls</v>
      </c>
      <c r="AK195" s="1" t="s">
        <v>152</v>
      </c>
      <c r="AL195" s="1"/>
    </row>
    <row r="196" spans="1:38" hidden="1" x14ac:dyDescent="0.25">
      <c r="A196" s="24">
        <f t="shared" si="72"/>
        <v>195</v>
      </c>
      <c r="B196" s="25" t="s">
        <v>762</v>
      </c>
      <c r="C196" s="25" t="s">
        <v>763</v>
      </c>
      <c r="D196" s="27" t="s">
        <v>764</v>
      </c>
      <c r="E196" s="25" t="s">
        <v>162</v>
      </c>
      <c r="F196" s="25" t="s">
        <v>71</v>
      </c>
      <c r="G196" s="25" t="s">
        <v>378</v>
      </c>
      <c r="H196" s="25" t="s">
        <v>140</v>
      </c>
      <c r="I196" s="25" t="s">
        <v>771</v>
      </c>
      <c r="J196" s="25" t="s">
        <v>38</v>
      </c>
      <c r="K196" s="25">
        <v>60</v>
      </c>
      <c r="L196" s="25" t="s">
        <v>39</v>
      </c>
      <c r="M196" s="25" t="s">
        <v>44</v>
      </c>
      <c r="N196" s="23" t="s">
        <v>55</v>
      </c>
      <c r="O196" s="23" t="s">
        <v>59</v>
      </c>
      <c r="P196" s="23" t="s">
        <v>60</v>
      </c>
      <c r="Q196" s="23">
        <v>3</v>
      </c>
      <c r="R196" s="23" t="s">
        <v>240</v>
      </c>
      <c r="S196" s="23">
        <v>3000</v>
      </c>
      <c r="T196" s="23">
        <v>5000</v>
      </c>
      <c r="U196" s="23" t="s">
        <v>44</v>
      </c>
      <c r="V196" s="23" t="s">
        <v>62</v>
      </c>
      <c r="W196" s="23"/>
      <c r="X196" s="23" t="e">
        <f>IF(COUNTIF(#REF!,_xlfn.TEXTJOIN(".",,C196,F196,H196)),"是","否")</f>
        <v>#REF!</v>
      </c>
      <c r="Y196" s="23" t="e">
        <f t="shared" si="73"/>
        <v>#REF!</v>
      </c>
      <c r="Z196" s="23" t="s">
        <v>55</v>
      </c>
      <c r="AA196" s="27" t="s">
        <v>55</v>
      </c>
      <c r="AB196" s="27" t="s">
        <v>60</v>
      </c>
      <c r="AC196" s="27">
        <v>1</v>
      </c>
      <c r="AD196" s="27" t="s">
        <v>334</v>
      </c>
      <c r="AE196" s="27" t="s">
        <v>333</v>
      </c>
      <c r="AF196" s="27" t="s">
        <v>768</v>
      </c>
      <c r="AG196" s="27" t="s">
        <v>769</v>
      </c>
      <c r="AH196" s="27" t="s">
        <v>58</v>
      </c>
      <c r="AI196" s="27" t="s">
        <v>62</v>
      </c>
      <c r="AJ196" s="1" t="str">
        <f t="shared" si="74"/>
        <v>SYS.APIC.instance_id.avg_latency</v>
      </c>
      <c r="AK196" s="1" t="s">
        <v>302</v>
      </c>
      <c r="AL196" s="1"/>
    </row>
    <row r="197" spans="1:38" hidden="1" x14ac:dyDescent="0.25">
      <c r="A197" s="24">
        <f t="shared" ref="A197:A209" si="75">ROW()-1</f>
        <v>196</v>
      </c>
      <c r="B197" s="25" t="s">
        <v>812</v>
      </c>
      <c r="C197" s="25" t="s">
        <v>813</v>
      </c>
      <c r="D197" s="25" t="s">
        <v>814</v>
      </c>
      <c r="E197" s="25" t="s">
        <v>815</v>
      </c>
      <c r="F197" s="25" t="s">
        <v>816</v>
      </c>
      <c r="G197" s="25" t="s">
        <v>817</v>
      </c>
      <c r="H197" s="25" t="s">
        <v>818</v>
      </c>
      <c r="I197" s="22" t="s">
        <v>819</v>
      </c>
      <c r="J197" s="22" t="s">
        <v>38</v>
      </c>
      <c r="K197" s="22">
        <v>60</v>
      </c>
      <c r="L197" s="22" t="s">
        <v>39</v>
      </c>
      <c r="M197" s="22" t="s">
        <v>83</v>
      </c>
      <c r="N197" s="23" t="s">
        <v>55</v>
      </c>
      <c r="O197" s="23" t="s">
        <v>59</v>
      </c>
      <c r="P197" s="23" t="s">
        <v>60</v>
      </c>
      <c r="Q197" s="23">
        <v>3</v>
      </c>
      <c r="R197" s="23" t="s">
        <v>61</v>
      </c>
      <c r="S197" s="23"/>
      <c r="T197" s="23">
        <v>0</v>
      </c>
      <c r="U197" s="23" t="s">
        <v>83</v>
      </c>
      <c r="V197" s="23" t="s">
        <v>62</v>
      </c>
      <c r="W197" s="23"/>
      <c r="X197" s="23" t="e">
        <f>IF(COUNTIF(#REF!,_xlfn.TEXTJOIN(".",,C197,F197,H197)),"是","否")</f>
        <v>#REF!</v>
      </c>
      <c r="Y197" s="23" t="e">
        <f t="shared" ref="Y197:Y209" si="76">IF(AND(O197="底线指标",X197="是"),"是","否")</f>
        <v>#REF!</v>
      </c>
      <c r="Z197" s="23"/>
      <c r="AA197" s="23"/>
      <c r="AB197" s="23"/>
      <c r="AC197" s="23"/>
      <c r="AD197" s="23"/>
      <c r="AE197" s="23"/>
      <c r="AF197" s="23"/>
      <c r="AG197" s="23"/>
      <c r="AH197" s="23"/>
      <c r="AI197" s="23"/>
      <c r="AJ197" s="1" t="str">
        <f t="shared" ref="AJ197:AJ209" si="77">_xlfn.TEXTJOIN(".",TRUE,C197,F197,H197)</f>
        <v>SYS.NAT.elastic_nat_gateway_id.error_port_allocation_count</v>
      </c>
      <c r="AK197" s="1"/>
      <c r="AL197" s="1"/>
    </row>
    <row r="198" spans="1:38" hidden="1" x14ac:dyDescent="0.25">
      <c r="A198" s="24">
        <f t="shared" si="75"/>
        <v>197</v>
      </c>
      <c r="B198" s="25" t="s">
        <v>812</v>
      </c>
      <c r="C198" s="25" t="s">
        <v>813</v>
      </c>
      <c r="D198" s="25" t="s">
        <v>814</v>
      </c>
      <c r="E198" s="25" t="s">
        <v>820</v>
      </c>
      <c r="F198" s="25" t="s">
        <v>821</v>
      </c>
      <c r="G198" s="25" t="s">
        <v>739</v>
      </c>
      <c r="H198" s="25" t="s">
        <v>822</v>
      </c>
      <c r="I198" s="25" t="s">
        <v>823</v>
      </c>
      <c r="J198" s="25" t="s">
        <v>38</v>
      </c>
      <c r="K198" s="25">
        <v>60</v>
      </c>
      <c r="L198" s="25"/>
      <c r="M198" s="25" t="s">
        <v>83</v>
      </c>
      <c r="N198" s="23" t="s">
        <v>55</v>
      </c>
      <c r="O198" s="23" t="s">
        <v>59</v>
      </c>
      <c r="P198" s="23" t="s">
        <v>60</v>
      </c>
      <c r="Q198" s="23">
        <v>3</v>
      </c>
      <c r="R198" s="23" t="s">
        <v>61</v>
      </c>
      <c r="S198" s="23" t="s">
        <v>63</v>
      </c>
      <c r="T198" s="23" t="s">
        <v>824</v>
      </c>
      <c r="U198" s="23" t="s">
        <v>83</v>
      </c>
      <c r="V198" s="23" t="s">
        <v>62</v>
      </c>
      <c r="W198" s="23"/>
      <c r="X198" s="23" t="e">
        <f>IF(COUNTIF(#REF!,_xlfn.TEXTJOIN(".",,C198,F198,H198)),"是","否")</f>
        <v>#REF!</v>
      </c>
      <c r="Y198" s="23" t="e">
        <f t="shared" si="76"/>
        <v>#REF!</v>
      </c>
      <c r="Z198" s="23" t="s">
        <v>55</v>
      </c>
      <c r="AA198" s="27" t="s">
        <v>55</v>
      </c>
      <c r="AB198" s="27" t="s">
        <v>60</v>
      </c>
      <c r="AC198" s="27">
        <v>3</v>
      </c>
      <c r="AD198" s="27"/>
      <c r="AE198" s="27" t="s">
        <v>63</v>
      </c>
      <c r="AF198" s="27" t="s">
        <v>824</v>
      </c>
      <c r="AG198" s="27"/>
      <c r="AH198" s="27" t="s">
        <v>43</v>
      </c>
      <c r="AI198" s="27" t="s">
        <v>62</v>
      </c>
      <c r="AJ198" s="1" t="str">
        <f t="shared" si="77"/>
        <v>SYS.NAT.nat_gateway_id.inbound_pps</v>
      </c>
      <c r="AK198" s="1" t="s">
        <v>152</v>
      </c>
      <c r="AL198" s="1"/>
    </row>
    <row r="199" spans="1:38" hidden="1" x14ac:dyDescent="0.25">
      <c r="A199" s="24">
        <f t="shared" si="75"/>
        <v>198</v>
      </c>
      <c r="B199" s="25" t="s">
        <v>812</v>
      </c>
      <c r="C199" s="25" t="s">
        <v>813</v>
      </c>
      <c r="D199" s="25" t="s">
        <v>814</v>
      </c>
      <c r="E199" s="25" t="s">
        <v>820</v>
      </c>
      <c r="F199" s="25" t="s">
        <v>821</v>
      </c>
      <c r="G199" s="25" t="s">
        <v>742</v>
      </c>
      <c r="H199" s="25" t="s">
        <v>825</v>
      </c>
      <c r="I199" s="25" t="s">
        <v>826</v>
      </c>
      <c r="J199" s="25" t="s">
        <v>38</v>
      </c>
      <c r="K199" s="25">
        <v>60</v>
      </c>
      <c r="L199" s="25"/>
      <c r="M199" s="25" t="s">
        <v>83</v>
      </c>
      <c r="N199" s="23" t="s">
        <v>55</v>
      </c>
      <c r="O199" s="23" t="s">
        <v>59</v>
      </c>
      <c r="P199" s="23" t="s">
        <v>60</v>
      </c>
      <c r="Q199" s="23">
        <v>3</v>
      </c>
      <c r="R199" s="23" t="s">
        <v>61</v>
      </c>
      <c r="S199" s="23" t="s">
        <v>63</v>
      </c>
      <c r="T199" s="23" t="s">
        <v>824</v>
      </c>
      <c r="U199" s="23" t="s">
        <v>83</v>
      </c>
      <c r="V199" s="23" t="s">
        <v>62</v>
      </c>
      <c r="W199" s="23"/>
      <c r="X199" s="23" t="e">
        <f>IF(COUNTIF(#REF!,_xlfn.TEXTJOIN(".",,C199,F199,H199)),"是","否")</f>
        <v>#REF!</v>
      </c>
      <c r="Y199" s="23" t="e">
        <f t="shared" si="76"/>
        <v>#REF!</v>
      </c>
      <c r="Z199" s="23" t="s">
        <v>55</v>
      </c>
      <c r="AA199" s="27" t="s">
        <v>55</v>
      </c>
      <c r="AB199" s="27" t="s">
        <v>60</v>
      </c>
      <c r="AC199" s="27">
        <v>3</v>
      </c>
      <c r="AD199" s="27"/>
      <c r="AE199" s="27" t="s">
        <v>63</v>
      </c>
      <c r="AF199" s="27" t="s">
        <v>824</v>
      </c>
      <c r="AG199" s="27"/>
      <c r="AH199" s="27" t="s">
        <v>43</v>
      </c>
      <c r="AI199" s="27" t="s">
        <v>62</v>
      </c>
      <c r="AJ199" s="1" t="str">
        <f t="shared" si="77"/>
        <v>SYS.NAT.nat_gateway_id.outbound_pps</v>
      </c>
      <c r="AK199" s="1" t="s">
        <v>152</v>
      </c>
      <c r="AL199" s="1"/>
    </row>
    <row r="200" spans="1:38" hidden="1" x14ac:dyDescent="0.25">
      <c r="A200" s="24">
        <f t="shared" si="75"/>
        <v>199</v>
      </c>
      <c r="B200" s="25" t="s">
        <v>812</v>
      </c>
      <c r="C200" s="25" t="s">
        <v>813</v>
      </c>
      <c r="D200" s="25" t="s">
        <v>814</v>
      </c>
      <c r="E200" s="25" t="s">
        <v>820</v>
      </c>
      <c r="F200" s="25" t="s">
        <v>821</v>
      </c>
      <c r="G200" s="25" t="s">
        <v>827</v>
      </c>
      <c r="H200" s="25" t="s">
        <v>828</v>
      </c>
      <c r="I200" s="25" t="s">
        <v>829</v>
      </c>
      <c r="J200" s="25" t="s">
        <v>38</v>
      </c>
      <c r="K200" s="25">
        <v>60</v>
      </c>
      <c r="L200" s="25" t="s">
        <v>39</v>
      </c>
      <c r="M200" s="25" t="s">
        <v>58</v>
      </c>
      <c r="N200" s="23" t="s">
        <v>55</v>
      </c>
      <c r="O200" s="23" t="s">
        <v>59</v>
      </c>
      <c r="P200" s="23" t="s">
        <v>60</v>
      </c>
      <c r="Q200" s="23">
        <v>3</v>
      </c>
      <c r="R200" s="23" t="s">
        <v>61</v>
      </c>
      <c r="S200" s="23"/>
      <c r="T200" s="23">
        <v>80</v>
      </c>
      <c r="U200" s="23" t="s">
        <v>58</v>
      </c>
      <c r="V200" s="23" t="s">
        <v>62</v>
      </c>
      <c r="W200" s="23"/>
      <c r="X200" s="23" t="e">
        <f>IF(COUNTIF(#REF!,_xlfn.TEXTJOIN(".",,C200,F200,H200)),"是","否")</f>
        <v>#REF!</v>
      </c>
      <c r="Y200" s="23" t="e">
        <f t="shared" si="76"/>
        <v>#REF!</v>
      </c>
      <c r="Z200" s="23" t="s">
        <v>55</v>
      </c>
      <c r="AA200" s="27" t="s">
        <v>55</v>
      </c>
      <c r="AB200" s="27" t="s">
        <v>60</v>
      </c>
      <c r="AC200" s="27">
        <v>3</v>
      </c>
      <c r="AD200" s="27" t="s">
        <v>61</v>
      </c>
      <c r="AE200" s="27"/>
      <c r="AF200" s="27">
        <v>80</v>
      </c>
      <c r="AG200" s="27"/>
      <c r="AH200" s="27" t="s">
        <v>58</v>
      </c>
      <c r="AI200" s="27" t="s">
        <v>62</v>
      </c>
      <c r="AJ200" s="1" t="str">
        <f t="shared" si="77"/>
        <v>SYS.NAT.nat_gateway_id.snat_connection_ratio</v>
      </c>
      <c r="AK200" s="1" t="s">
        <v>152</v>
      </c>
      <c r="AL200" s="1"/>
    </row>
    <row r="201" spans="1:38" hidden="1" x14ac:dyDescent="0.25">
      <c r="A201" s="24">
        <f t="shared" si="75"/>
        <v>200</v>
      </c>
      <c r="B201" s="25" t="s">
        <v>812</v>
      </c>
      <c r="C201" s="25" t="s">
        <v>813</v>
      </c>
      <c r="D201" s="25" t="s">
        <v>814</v>
      </c>
      <c r="E201" s="25" t="s">
        <v>820</v>
      </c>
      <c r="F201" s="25" t="s">
        <v>821</v>
      </c>
      <c r="G201" s="25" t="s">
        <v>830</v>
      </c>
      <c r="H201" s="25" t="s">
        <v>831</v>
      </c>
      <c r="I201" s="22" t="s">
        <v>832</v>
      </c>
      <c r="J201" s="22" t="s">
        <v>38</v>
      </c>
      <c r="K201" s="22">
        <v>60</v>
      </c>
      <c r="L201" s="22" t="s">
        <v>39</v>
      </c>
      <c r="M201" s="22" t="s">
        <v>58</v>
      </c>
      <c r="N201" s="23" t="s">
        <v>55</v>
      </c>
      <c r="O201" s="23" t="s">
        <v>59</v>
      </c>
      <c r="P201" s="23" t="s">
        <v>60</v>
      </c>
      <c r="Q201" s="23">
        <v>3</v>
      </c>
      <c r="R201" s="23" t="s">
        <v>61</v>
      </c>
      <c r="S201" s="23">
        <v>80</v>
      </c>
      <c r="T201" s="23"/>
      <c r="U201" s="23" t="s">
        <v>58</v>
      </c>
      <c r="V201" s="23" t="s">
        <v>62</v>
      </c>
      <c r="W201" s="23"/>
      <c r="X201" s="23" t="e">
        <f>IF(COUNTIF(#REF!,_xlfn.TEXTJOIN(".",,C201,F201,H201)),"是","否")</f>
        <v>#REF!</v>
      </c>
      <c r="Y201" s="23" t="e">
        <f t="shared" si="76"/>
        <v>#REF!</v>
      </c>
      <c r="Z201" s="23"/>
      <c r="AA201" s="23"/>
      <c r="AB201" s="23"/>
      <c r="AC201" s="23"/>
      <c r="AD201" s="23"/>
      <c r="AE201" s="23"/>
      <c r="AF201" s="23"/>
      <c r="AG201" s="23"/>
      <c r="AH201" s="23"/>
      <c r="AI201" s="23"/>
      <c r="AJ201" s="1" t="str">
        <f t="shared" si="77"/>
        <v>SYS.NAT.nat_gateway_id.inbound_bandwidth_ratio</v>
      </c>
      <c r="AK201" s="1"/>
      <c r="AL201" s="1"/>
    </row>
    <row r="202" spans="1:38" hidden="1" x14ac:dyDescent="0.25">
      <c r="A202" s="24">
        <f t="shared" si="75"/>
        <v>201</v>
      </c>
      <c r="B202" s="25" t="s">
        <v>812</v>
      </c>
      <c r="C202" s="25" t="s">
        <v>813</v>
      </c>
      <c r="D202" s="25" t="s">
        <v>814</v>
      </c>
      <c r="E202" s="25" t="s">
        <v>820</v>
      </c>
      <c r="F202" s="25" t="s">
        <v>821</v>
      </c>
      <c r="G202" s="25" t="s">
        <v>833</v>
      </c>
      <c r="H202" s="25" t="s">
        <v>834</v>
      </c>
      <c r="I202" s="22" t="s">
        <v>835</v>
      </c>
      <c r="J202" s="22" t="s">
        <v>38</v>
      </c>
      <c r="K202" s="22">
        <v>60</v>
      </c>
      <c r="L202" s="22" t="s">
        <v>39</v>
      </c>
      <c r="M202" s="22" t="s">
        <v>58</v>
      </c>
      <c r="N202" s="23" t="s">
        <v>55</v>
      </c>
      <c r="O202" s="23" t="s">
        <v>59</v>
      </c>
      <c r="P202" s="23" t="s">
        <v>60</v>
      </c>
      <c r="Q202" s="23">
        <v>3</v>
      </c>
      <c r="R202" s="23" t="s">
        <v>61</v>
      </c>
      <c r="S202" s="23">
        <v>80</v>
      </c>
      <c r="T202" s="23"/>
      <c r="U202" s="23" t="s">
        <v>58</v>
      </c>
      <c r="V202" s="23" t="s">
        <v>62</v>
      </c>
      <c r="W202" s="23"/>
      <c r="X202" s="23" t="e">
        <f>IF(COUNTIF(#REF!,_xlfn.TEXTJOIN(".",,C202,F202,H202)),"是","否")</f>
        <v>#REF!</v>
      </c>
      <c r="Y202" s="23" t="e">
        <f t="shared" si="76"/>
        <v>#REF!</v>
      </c>
      <c r="Z202" s="23"/>
      <c r="AA202" s="23"/>
      <c r="AB202" s="23"/>
      <c r="AC202" s="23"/>
      <c r="AD202" s="23"/>
      <c r="AE202" s="23"/>
      <c r="AF202" s="23"/>
      <c r="AG202" s="23"/>
      <c r="AH202" s="23"/>
      <c r="AI202" s="23"/>
      <c r="AJ202" s="1" t="str">
        <f t="shared" si="77"/>
        <v>SYS.NAT.nat_gateway_id.outbound_bandwidth_ratio</v>
      </c>
      <c r="AK202" s="1"/>
      <c r="AL202" s="1"/>
    </row>
    <row r="203" spans="1:38" hidden="1" x14ac:dyDescent="0.25">
      <c r="A203" s="24">
        <f t="shared" si="75"/>
        <v>202</v>
      </c>
      <c r="B203" s="25" t="s">
        <v>812</v>
      </c>
      <c r="C203" s="25" t="s">
        <v>813</v>
      </c>
      <c r="D203" s="25" t="s">
        <v>814</v>
      </c>
      <c r="E203" s="25" t="s">
        <v>820</v>
      </c>
      <c r="F203" s="25" t="s">
        <v>821</v>
      </c>
      <c r="G203" s="25" t="s">
        <v>836</v>
      </c>
      <c r="H203" s="25" t="s">
        <v>837</v>
      </c>
      <c r="I203" s="25" t="s">
        <v>838</v>
      </c>
      <c r="J203" s="25" t="s">
        <v>38</v>
      </c>
      <c r="K203" s="25">
        <v>60</v>
      </c>
      <c r="L203" s="25" t="s">
        <v>39</v>
      </c>
      <c r="M203" s="25" t="s">
        <v>83</v>
      </c>
      <c r="N203" s="23" t="s">
        <v>55</v>
      </c>
      <c r="O203" s="23" t="s">
        <v>59</v>
      </c>
      <c r="P203" s="23" t="s">
        <v>60</v>
      </c>
      <c r="Q203" s="23">
        <v>3</v>
      </c>
      <c r="R203" s="23" t="s">
        <v>61</v>
      </c>
      <c r="S203" s="23"/>
      <c r="T203" s="23">
        <v>0</v>
      </c>
      <c r="U203" s="23" t="s">
        <v>83</v>
      </c>
      <c r="V203" s="23" t="s">
        <v>62</v>
      </c>
      <c r="W203" s="23"/>
      <c r="X203" s="23" t="e">
        <f>IF(COUNTIF(#REF!,_xlfn.TEXTJOIN(".",,C203,F203,H203)),"是","否")</f>
        <v>#REF!</v>
      </c>
      <c r="Y203" s="23" t="e">
        <f t="shared" si="76"/>
        <v>#REF!</v>
      </c>
      <c r="Z203" s="23" t="s">
        <v>55</v>
      </c>
      <c r="AA203" s="27" t="s">
        <v>55</v>
      </c>
      <c r="AB203" s="27" t="s">
        <v>60</v>
      </c>
      <c r="AC203" s="27">
        <v>3</v>
      </c>
      <c r="AD203" s="27" t="s">
        <v>61</v>
      </c>
      <c r="AE203" s="27"/>
      <c r="AF203" s="27">
        <v>0</v>
      </c>
      <c r="AG203" s="27"/>
      <c r="AH203" s="27" t="s">
        <v>43</v>
      </c>
      <c r="AI203" s="27" t="s">
        <v>62</v>
      </c>
      <c r="AJ203" s="1" t="str">
        <f t="shared" si="77"/>
        <v>SYS.NAT.nat_gateway_id.packets_drop_count_snat_connection_beyond</v>
      </c>
      <c r="AK203" s="1" t="s">
        <v>152</v>
      </c>
      <c r="AL203" s="1"/>
    </row>
    <row r="204" spans="1:38" hidden="1" x14ac:dyDescent="0.25">
      <c r="A204" s="24">
        <f t="shared" si="75"/>
        <v>203</v>
      </c>
      <c r="B204" s="25" t="s">
        <v>812</v>
      </c>
      <c r="C204" s="25" t="s">
        <v>813</v>
      </c>
      <c r="D204" s="25" t="s">
        <v>814</v>
      </c>
      <c r="E204" s="25" t="s">
        <v>820</v>
      </c>
      <c r="F204" s="25" t="s">
        <v>821</v>
      </c>
      <c r="G204" s="25" t="s">
        <v>839</v>
      </c>
      <c r="H204" s="25" t="s">
        <v>840</v>
      </c>
      <c r="I204" s="25" t="s">
        <v>841</v>
      </c>
      <c r="J204" s="25" t="s">
        <v>38</v>
      </c>
      <c r="K204" s="25">
        <v>60</v>
      </c>
      <c r="L204" s="25" t="s">
        <v>39</v>
      </c>
      <c r="M204" s="25" t="s">
        <v>83</v>
      </c>
      <c r="N204" s="23" t="s">
        <v>55</v>
      </c>
      <c r="O204" s="23" t="s">
        <v>59</v>
      </c>
      <c r="P204" s="23" t="s">
        <v>60</v>
      </c>
      <c r="Q204" s="23">
        <v>3</v>
      </c>
      <c r="R204" s="23" t="s">
        <v>61</v>
      </c>
      <c r="S204" s="23"/>
      <c r="T204" s="23">
        <v>0</v>
      </c>
      <c r="U204" s="23" t="s">
        <v>83</v>
      </c>
      <c r="V204" s="23" t="s">
        <v>62</v>
      </c>
      <c r="W204" s="23"/>
      <c r="X204" s="23" t="e">
        <f>IF(COUNTIF(#REF!,_xlfn.TEXTJOIN(".",,C204,F204,H204)),"是","否")</f>
        <v>#REF!</v>
      </c>
      <c r="Y204" s="23" t="e">
        <f t="shared" si="76"/>
        <v>#REF!</v>
      </c>
      <c r="Z204" s="23" t="s">
        <v>55</v>
      </c>
      <c r="AA204" s="27" t="s">
        <v>55</v>
      </c>
      <c r="AB204" s="27" t="s">
        <v>60</v>
      </c>
      <c r="AC204" s="27">
        <v>3</v>
      </c>
      <c r="AD204" s="27" t="s">
        <v>61</v>
      </c>
      <c r="AE204" s="27"/>
      <c r="AF204" s="27">
        <v>0</v>
      </c>
      <c r="AG204" s="27"/>
      <c r="AH204" s="27" t="s">
        <v>43</v>
      </c>
      <c r="AI204" s="27" t="s">
        <v>62</v>
      </c>
      <c r="AJ204" s="1" t="str">
        <f t="shared" si="77"/>
        <v>SYS.NAT.nat_gateway_id.packets_drop_count_pps_beyond</v>
      </c>
      <c r="AK204" s="1" t="s">
        <v>152</v>
      </c>
      <c r="AL204" s="1"/>
    </row>
    <row r="205" spans="1:38" hidden="1" x14ac:dyDescent="0.25">
      <c r="A205" s="24">
        <f t="shared" si="75"/>
        <v>204</v>
      </c>
      <c r="B205" s="25" t="s">
        <v>812</v>
      </c>
      <c r="C205" s="25" t="s">
        <v>813</v>
      </c>
      <c r="D205" s="25" t="s">
        <v>814</v>
      </c>
      <c r="E205" s="25" t="s">
        <v>820</v>
      </c>
      <c r="F205" s="25" t="s">
        <v>821</v>
      </c>
      <c r="G205" s="25" t="s">
        <v>842</v>
      </c>
      <c r="H205" s="25" t="s">
        <v>843</v>
      </c>
      <c r="I205" s="25" t="s">
        <v>844</v>
      </c>
      <c r="J205" s="25" t="s">
        <v>38</v>
      </c>
      <c r="K205" s="25">
        <v>60</v>
      </c>
      <c r="L205" s="25" t="s">
        <v>39</v>
      </c>
      <c r="M205" s="25" t="s">
        <v>83</v>
      </c>
      <c r="N205" s="23" t="s">
        <v>55</v>
      </c>
      <c r="O205" s="23" t="s">
        <v>59</v>
      </c>
      <c r="P205" s="23" t="s">
        <v>60</v>
      </c>
      <c r="Q205" s="23">
        <v>3</v>
      </c>
      <c r="R205" s="23" t="s">
        <v>61</v>
      </c>
      <c r="S205" s="23"/>
      <c r="T205" s="23">
        <v>0</v>
      </c>
      <c r="U205" s="23" t="s">
        <v>83</v>
      </c>
      <c r="V205" s="23" t="s">
        <v>62</v>
      </c>
      <c r="W205" s="23"/>
      <c r="X205" s="23" t="e">
        <f>IF(COUNTIF(#REF!,_xlfn.TEXTJOIN(".",,C205,F205,H205)),"是","否")</f>
        <v>#REF!</v>
      </c>
      <c r="Y205" s="23" t="e">
        <f t="shared" si="76"/>
        <v>#REF!</v>
      </c>
      <c r="Z205" s="23" t="s">
        <v>55</v>
      </c>
      <c r="AA205" s="27" t="s">
        <v>55</v>
      </c>
      <c r="AB205" s="27" t="s">
        <v>60</v>
      </c>
      <c r="AC205" s="27">
        <v>3</v>
      </c>
      <c r="AD205" s="27" t="s">
        <v>61</v>
      </c>
      <c r="AE205" s="27"/>
      <c r="AF205" s="27">
        <v>0</v>
      </c>
      <c r="AG205" s="27"/>
      <c r="AH205" s="27" t="s">
        <v>43</v>
      </c>
      <c r="AI205" s="27" t="s">
        <v>62</v>
      </c>
      <c r="AJ205" s="1" t="str">
        <f t="shared" si="77"/>
        <v>SYS.NAT.nat_gateway_id.packets_drop_count_eip_port_alloc_beyond</v>
      </c>
      <c r="AK205" s="1" t="s">
        <v>152</v>
      </c>
      <c r="AL205" s="1"/>
    </row>
    <row r="206" spans="1:38" hidden="1" x14ac:dyDescent="0.25">
      <c r="A206" s="24">
        <f t="shared" si="75"/>
        <v>205</v>
      </c>
      <c r="B206" s="25" t="s">
        <v>812</v>
      </c>
      <c r="C206" s="25" t="s">
        <v>813</v>
      </c>
      <c r="D206" s="25" t="s">
        <v>814</v>
      </c>
      <c r="E206" s="25" t="s">
        <v>848</v>
      </c>
      <c r="F206" s="25" t="s">
        <v>849</v>
      </c>
      <c r="G206" s="25" t="s">
        <v>836</v>
      </c>
      <c r="H206" s="25" t="s">
        <v>837</v>
      </c>
      <c r="I206" s="25" t="s">
        <v>838</v>
      </c>
      <c r="J206" s="25" t="s">
        <v>38</v>
      </c>
      <c r="K206" s="25">
        <v>60</v>
      </c>
      <c r="L206" s="25" t="s">
        <v>39</v>
      </c>
      <c r="M206" s="25" t="s">
        <v>83</v>
      </c>
      <c r="N206" s="23" t="s">
        <v>55</v>
      </c>
      <c r="O206" s="23" t="s">
        <v>59</v>
      </c>
      <c r="P206" s="23" t="s">
        <v>60</v>
      </c>
      <c r="Q206" s="23">
        <v>3</v>
      </c>
      <c r="R206" s="23" t="s">
        <v>61</v>
      </c>
      <c r="S206" s="23"/>
      <c r="T206" s="23">
        <v>0</v>
      </c>
      <c r="U206" s="23" t="s">
        <v>83</v>
      </c>
      <c r="V206" s="23" t="s">
        <v>62</v>
      </c>
      <c r="W206" s="23" t="s">
        <v>850</v>
      </c>
      <c r="X206" s="23" t="e">
        <f>IF(COUNTIF(#REF!,_xlfn.TEXTJOIN(".",,C206,F206,H206)),"是","否")</f>
        <v>#REF!</v>
      </c>
      <c r="Y206" s="23" t="e">
        <f t="shared" si="76"/>
        <v>#REF!</v>
      </c>
      <c r="Z206" s="23" t="s">
        <v>851</v>
      </c>
      <c r="AA206" s="23"/>
      <c r="AB206" s="23"/>
      <c r="AC206" s="23"/>
      <c r="AD206" s="23"/>
      <c r="AE206" s="23"/>
      <c r="AF206" s="23"/>
      <c r="AG206" s="23"/>
      <c r="AH206" s="23"/>
      <c r="AI206" s="23"/>
      <c r="AJ206" s="1" t="str">
        <f t="shared" si="77"/>
        <v>SYS.NAT.vpc_nat_gateway_id.packets_drop_count_snat_connection_beyond</v>
      </c>
      <c r="AK206" s="1" t="s">
        <v>152</v>
      </c>
      <c r="AL206" s="1"/>
    </row>
    <row r="207" spans="1:38" hidden="1" x14ac:dyDescent="0.25">
      <c r="A207" s="24">
        <f t="shared" si="75"/>
        <v>206</v>
      </c>
      <c r="B207" s="25" t="s">
        <v>812</v>
      </c>
      <c r="C207" s="25" t="s">
        <v>813</v>
      </c>
      <c r="D207" s="25" t="s">
        <v>814</v>
      </c>
      <c r="E207" s="25" t="s">
        <v>848</v>
      </c>
      <c r="F207" s="25" t="s">
        <v>849</v>
      </c>
      <c r="G207" s="25" t="s">
        <v>839</v>
      </c>
      <c r="H207" s="25" t="s">
        <v>840</v>
      </c>
      <c r="I207" s="25" t="s">
        <v>841</v>
      </c>
      <c r="J207" s="25" t="s">
        <v>38</v>
      </c>
      <c r="K207" s="25">
        <v>60</v>
      </c>
      <c r="L207" s="25" t="s">
        <v>39</v>
      </c>
      <c r="M207" s="25" t="s">
        <v>83</v>
      </c>
      <c r="N207" s="23" t="s">
        <v>55</v>
      </c>
      <c r="O207" s="23" t="s">
        <v>59</v>
      </c>
      <c r="P207" s="23" t="s">
        <v>60</v>
      </c>
      <c r="Q207" s="23">
        <v>3</v>
      </c>
      <c r="R207" s="23" t="s">
        <v>61</v>
      </c>
      <c r="S207" s="23"/>
      <c r="T207" s="23">
        <v>0</v>
      </c>
      <c r="U207" s="23" t="s">
        <v>83</v>
      </c>
      <c r="V207" s="23" t="s">
        <v>62</v>
      </c>
      <c r="W207" s="23" t="s">
        <v>850</v>
      </c>
      <c r="X207" s="23" t="e">
        <f>IF(COUNTIF(#REF!,_xlfn.TEXTJOIN(".",,C207,F207,H207)),"是","否")</f>
        <v>#REF!</v>
      </c>
      <c r="Y207" s="23" t="e">
        <f t="shared" si="76"/>
        <v>#REF!</v>
      </c>
      <c r="Z207" s="23" t="s">
        <v>851</v>
      </c>
      <c r="AA207" s="23"/>
      <c r="AB207" s="23"/>
      <c r="AC207" s="23"/>
      <c r="AD207" s="23"/>
      <c r="AE207" s="23"/>
      <c r="AF207" s="23"/>
      <c r="AG207" s="23"/>
      <c r="AH207" s="23"/>
      <c r="AI207" s="23"/>
      <c r="AJ207" s="1" t="str">
        <f t="shared" si="77"/>
        <v>SYS.NAT.vpc_nat_gateway_id.packets_drop_count_pps_beyond</v>
      </c>
      <c r="AK207" s="1" t="s">
        <v>152</v>
      </c>
      <c r="AL207" s="1"/>
    </row>
    <row r="208" spans="1:38" hidden="1" x14ac:dyDescent="0.25">
      <c r="A208" s="24">
        <f t="shared" si="75"/>
        <v>207</v>
      </c>
      <c r="B208" s="25" t="s">
        <v>812</v>
      </c>
      <c r="C208" s="25" t="s">
        <v>813</v>
      </c>
      <c r="D208" s="25" t="s">
        <v>814</v>
      </c>
      <c r="E208" s="25" t="s">
        <v>848</v>
      </c>
      <c r="F208" s="25" t="s">
        <v>849</v>
      </c>
      <c r="G208" s="25" t="s">
        <v>842</v>
      </c>
      <c r="H208" s="25" t="s">
        <v>843</v>
      </c>
      <c r="I208" s="25" t="s">
        <v>844</v>
      </c>
      <c r="J208" s="25" t="s">
        <v>38</v>
      </c>
      <c r="K208" s="25">
        <v>60</v>
      </c>
      <c r="L208" s="25" t="s">
        <v>39</v>
      </c>
      <c r="M208" s="25" t="s">
        <v>83</v>
      </c>
      <c r="N208" s="23" t="s">
        <v>55</v>
      </c>
      <c r="O208" s="23" t="s">
        <v>59</v>
      </c>
      <c r="P208" s="23" t="s">
        <v>60</v>
      </c>
      <c r="Q208" s="23">
        <v>3</v>
      </c>
      <c r="R208" s="23" t="s">
        <v>61</v>
      </c>
      <c r="S208" s="23"/>
      <c r="T208" s="23">
        <v>0</v>
      </c>
      <c r="U208" s="23" t="s">
        <v>83</v>
      </c>
      <c r="V208" s="23" t="s">
        <v>62</v>
      </c>
      <c r="W208" s="23" t="s">
        <v>850</v>
      </c>
      <c r="X208" s="23" t="e">
        <f>IF(COUNTIF(#REF!,_xlfn.TEXTJOIN(".",,C208,F208,H208)),"是","否")</f>
        <v>#REF!</v>
      </c>
      <c r="Y208" s="23" t="e">
        <f t="shared" si="76"/>
        <v>#REF!</v>
      </c>
      <c r="Z208" s="23" t="s">
        <v>851</v>
      </c>
      <c r="AA208" s="23"/>
      <c r="AB208" s="23"/>
      <c r="AC208" s="23"/>
      <c r="AD208" s="23"/>
      <c r="AE208" s="23"/>
      <c r="AF208" s="23"/>
      <c r="AG208" s="23"/>
      <c r="AH208" s="23"/>
      <c r="AI208" s="23"/>
      <c r="AJ208" s="1" t="str">
        <f t="shared" si="77"/>
        <v>SYS.NAT.vpc_nat_gateway_id.packets_drop_count_eip_port_alloc_beyond</v>
      </c>
      <c r="AK208" s="1" t="s">
        <v>152</v>
      </c>
      <c r="AL208" s="1"/>
    </row>
    <row r="209" spans="1:38" hidden="1" x14ac:dyDescent="0.25">
      <c r="A209" s="24">
        <f t="shared" si="75"/>
        <v>208</v>
      </c>
      <c r="B209" s="25" t="s">
        <v>812</v>
      </c>
      <c r="C209" s="25" t="s">
        <v>813</v>
      </c>
      <c r="D209" s="25" t="s">
        <v>814</v>
      </c>
      <c r="E209" s="25" t="s">
        <v>848</v>
      </c>
      <c r="F209" s="25" t="s">
        <v>849</v>
      </c>
      <c r="G209" s="25" t="s">
        <v>845</v>
      </c>
      <c r="H209" s="25" t="s">
        <v>846</v>
      </c>
      <c r="I209" s="25" t="s">
        <v>847</v>
      </c>
      <c r="J209" s="25" t="s">
        <v>38</v>
      </c>
      <c r="K209" s="25">
        <v>60</v>
      </c>
      <c r="L209" s="25" t="s">
        <v>39</v>
      </c>
      <c r="M209" s="25" t="s">
        <v>58</v>
      </c>
      <c r="N209" s="23" t="s">
        <v>55</v>
      </c>
      <c r="O209" s="23" t="s">
        <v>59</v>
      </c>
      <c r="P209" s="23" t="s">
        <v>60</v>
      </c>
      <c r="Q209" s="23">
        <v>3</v>
      </c>
      <c r="R209" s="23" t="s">
        <v>61</v>
      </c>
      <c r="S209" s="23"/>
      <c r="T209" s="23">
        <v>80</v>
      </c>
      <c r="U209" s="23" t="s">
        <v>58</v>
      </c>
      <c r="V209" s="23" t="s">
        <v>62</v>
      </c>
      <c r="W209" s="23" t="s">
        <v>850</v>
      </c>
      <c r="X209" s="23" t="e">
        <f>IF(COUNTIF(#REF!,_xlfn.TEXTJOIN(".",,C209,F209,H209)),"是","否")</f>
        <v>#REF!</v>
      </c>
      <c r="Y209" s="23" t="e">
        <f t="shared" si="76"/>
        <v>#REF!</v>
      </c>
      <c r="Z209" s="23" t="s">
        <v>851</v>
      </c>
      <c r="AA209" s="27" t="s">
        <v>55</v>
      </c>
      <c r="AB209" s="27" t="s">
        <v>60</v>
      </c>
      <c r="AC209" s="27">
        <v>3</v>
      </c>
      <c r="AD209" s="27" t="s">
        <v>61</v>
      </c>
      <c r="AE209" s="27"/>
      <c r="AF209" s="27">
        <v>80</v>
      </c>
      <c r="AG209" s="27"/>
      <c r="AH209" s="27" t="s">
        <v>58</v>
      </c>
      <c r="AI209" s="27" t="s">
        <v>62</v>
      </c>
      <c r="AJ209" s="1" t="str">
        <f t="shared" si="77"/>
        <v>SYS.NAT.vpc_nat_gateway_id.total_pps_ratio</v>
      </c>
      <c r="AK209" s="1" t="s">
        <v>152</v>
      </c>
      <c r="AL209" s="1"/>
    </row>
    <row r="210" spans="1:38" hidden="1" x14ac:dyDescent="0.25">
      <c r="A210" s="24">
        <f t="shared" ref="A210:A225" si="78">ROW()-1</f>
        <v>209</v>
      </c>
      <c r="B210" s="25" t="s">
        <v>812</v>
      </c>
      <c r="C210" s="25" t="s">
        <v>813</v>
      </c>
      <c r="D210" s="25" t="s">
        <v>814</v>
      </c>
      <c r="E210" s="25" t="s">
        <v>848</v>
      </c>
      <c r="F210" s="25" t="s">
        <v>849</v>
      </c>
      <c r="G210" s="25" t="s">
        <v>827</v>
      </c>
      <c r="H210" s="25" t="s">
        <v>828</v>
      </c>
      <c r="I210" s="25" t="s">
        <v>829</v>
      </c>
      <c r="J210" s="25" t="s">
        <v>38</v>
      </c>
      <c r="K210" s="25">
        <v>60</v>
      </c>
      <c r="L210" s="25" t="s">
        <v>39</v>
      </c>
      <c r="M210" s="25" t="s">
        <v>58</v>
      </c>
      <c r="N210" s="23" t="s">
        <v>55</v>
      </c>
      <c r="O210" s="23" t="s">
        <v>59</v>
      </c>
      <c r="P210" s="23" t="s">
        <v>60</v>
      </c>
      <c r="Q210" s="23">
        <v>3</v>
      </c>
      <c r="R210" s="23" t="s">
        <v>61</v>
      </c>
      <c r="S210" s="23"/>
      <c r="T210" s="23">
        <v>80</v>
      </c>
      <c r="U210" s="23" t="s">
        <v>58</v>
      </c>
      <c r="V210" s="23" t="s">
        <v>62</v>
      </c>
      <c r="W210" s="23" t="s">
        <v>850</v>
      </c>
      <c r="X210" s="23" t="e">
        <f>IF(COUNTIF(#REF!,_xlfn.TEXTJOIN(".",,C210,F210,H210)),"是","否")</f>
        <v>#REF!</v>
      </c>
      <c r="Y210" s="23" t="e">
        <f t="shared" ref="Y210:Y225" si="79">IF(AND(O210="底线指标",X210="是"),"是","否")</f>
        <v>#REF!</v>
      </c>
      <c r="Z210" s="23" t="s">
        <v>851</v>
      </c>
      <c r="AA210" s="27" t="s">
        <v>55</v>
      </c>
      <c r="AB210" s="27" t="s">
        <v>60</v>
      </c>
      <c r="AC210" s="27">
        <v>3</v>
      </c>
      <c r="AD210" s="27" t="s">
        <v>61</v>
      </c>
      <c r="AE210" s="27"/>
      <c r="AF210" s="27">
        <v>80</v>
      </c>
      <c r="AG210" s="27"/>
      <c r="AH210" s="27" t="s">
        <v>58</v>
      </c>
      <c r="AI210" s="27" t="s">
        <v>62</v>
      </c>
      <c r="AJ210" s="1" t="str">
        <f t="shared" ref="AJ210:AJ225" si="80">_xlfn.TEXTJOIN(".",TRUE,C210,F210,H210)</f>
        <v>SYS.NAT.vpc_nat_gateway_id.snat_connection_ratio</v>
      </c>
      <c r="AK210" s="1" t="s">
        <v>152</v>
      </c>
      <c r="AL210" s="1"/>
    </row>
    <row r="211" spans="1:38" hidden="1" x14ac:dyDescent="0.25">
      <c r="A211" s="24">
        <f t="shared" si="78"/>
        <v>210</v>
      </c>
      <c r="B211" s="25" t="s">
        <v>852</v>
      </c>
      <c r="C211" s="25" t="s">
        <v>853</v>
      </c>
      <c r="D211" s="25" t="s">
        <v>852</v>
      </c>
      <c r="E211" s="25" t="s">
        <v>854</v>
      </c>
      <c r="F211" s="25" t="s">
        <v>855</v>
      </c>
      <c r="G211" s="25" t="s">
        <v>674</v>
      </c>
      <c r="H211" s="25" t="s">
        <v>675</v>
      </c>
      <c r="I211" s="25" t="s">
        <v>676</v>
      </c>
      <c r="J211" s="25" t="s">
        <v>38</v>
      </c>
      <c r="K211" s="25">
        <v>60</v>
      </c>
      <c r="L211" s="25"/>
      <c r="M211" s="25" t="s">
        <v>139</v>
      </c>
      <c r="N211" s="23" t="s">
        <v>55</v>
      </c>
      <c r="O211" s="23" t="s">
        <v>59</v>
      </c>
      <c r="P211" s="26" t="s">
        <v>60</v>
      </c>
      <c r="Q211" s="26">
        <v>3</v>
      </c>
      <c r="R211" s="26" t="s">
        <v>61</v>
      </c>
      <c r="S211" s="26"/>
      <c r="T211" s="26">
        <v>50</v>
      </c>
      <c r="U211" s="22" t="s">
        <v>139</v>
      </c>
      <c r="V211" s="23" t="s">
        <v>62</v>
      </c>
      <c r="W211" s="23"/>
      <c r="X211" s="23" t="e">
        <f>IF(COUNTIF(#REF!,_xlfn.TEXTJOIN(".",,C211,F211,H211)),"是","否")</f>
        <v>#REF!</v>
      </c>
      <c r="Y211" s="23" t="e">
        <f t="shared" si="79"/>
        <v>#REF!</v>
      </c>
      <c r="Z211" s="23"/>
      <c r="AA211" s="23"/>
      <c r="AB211" s="23"/>
      <c r="AC211" s="23"/>
      <c r="AD211" s="23"/>
      <c r="AE211" s="23"/>
      <c r="AF211" s="23"/>
      <c r="AG211" s="23"/>
      <c r="AH211" s="23"/>
      <c r="AI211" s="23"/>
      <c r="AJ211" s="1" t="str">
        <f t="shared" si="80"/>
        <v>SYS.ROMA.instance_id,kafka_instance_id,kafka_broker.broker_produce_mean</v>
      </c>
      <c r="AK211" s="1"/>
      <c r="AL211" s="1"/>
    </row>
    <row r="212" spans="1:38" hidden="1" x14ac:dyDescent="0.25">
      <c r="A212" s="24">
        <f t="shared" si="78"/>
        <v>211</v>
      </c>
      <c r="B212" s="25" t="s">
        <v>852</v>
      </c>
      <c r="C212" s="25" t="s">
        <v>853</v>
      </c>
      <c r="D212" s="25" t="s">
        <v>852</v>
      </c>
      <c r="E212" s="25" t="s">
        <v>854</v>
      </c>
      <c r="F212" s="25" t="s">
        <v>855</v>
      </c>
      <c r="G212" s="25" t="s">
        <v>677</v>
      </c>
      <c r="H212" s="25" t="s">
        <v>678</v>
      </c>
      <c r="I212" s="22" t="s">
        <v>679</v>
      </c>
      <c r="J212" s="22" t="s">
        <v>38</v>
      </c>
      <c r="K212" s="22">
        <v>60</v>
      </c>
      <c r="L212" s="22"/>
      <c r="M212" s="22" t="s">
        <v>139</v>
      </c>
      <c r="N212" s="23" t="s">
        <v>55</v>
      </c>
      <c r="O212" s="23" t="s">
        <v>59</v>
      </c>
      <c r="P212" s="23" t="s">
        <v>60</v>
      </c>
      <c r="Q212" s="23">
        <v>3</v>
      </c>
      <c r="R212" s="23" t="s">
        <v>61</v>
      </c>
      <c r="S212" s="23">
        <v>60000</v>
      </c>
      <c r="T212" s="23"/>
      <c r="U212" s="23" t="s">
        <v>44</v>
      </c>
      <c r="V212" s="23" t="s">
        <v>276</v>
      </c>
      <c r="W212" s="23"/>
      <c r="X212" s="23" t="e">
        <f>IF(COUNTIF(#REF!,_xlfn.TEXTJOIN(".",,C212,F212,H212)),"是","否")</f>
        <v>#REF!</v>
      </c>
      <c r="Y212" s="23" t="e">
        <f t="shared" si="79"/>
        <v>#REF!</v>
      </c>
      <c r="Z212" s="23"/>
      <c r="AA212" s="23"/>
      <c r="AB212" s="23"/>
      <c r="AC212" s="23"/>
      <c r="AD212" s="23"/>
      <c r="AE212" s="23"/>
      <c r="AF212" s="23"/>
      <c r="AG212" s="23"/>
      <c r="AH212" s="23"/>
      <c r="AI212" s="23"/>
      <c r="AJ212" s="1" t="str">
        <f t="shared" si="80"/>
        <v>SYS.ROMA.instance_id,kafka_instance_id,kafka_broker.broker_fetch_mean</v>
      </c>
      <c r="AK212" s="1"/>
      <c r="AL212" s="1"/>
    </row>
    <row r="213" spans="1:38" hidden="1" x14ac:dyDescent="0.25">
      <c r="A213" s="24">
        <f t="shared" si="78"/>
        <v>212</v>
      </c>
      <c r="B213" s="25" t="s">
        <v>852</v>
      </c>
      <c r="C213" s="25" t="s">
        <v>853</v>
      </c>
      <c r="D213" s="25" t="s">
        <v>852</v>
      </c>
      <c r="E213" s="25" t="s">
        <v>854</v>
      </c>
      <c r="F213" s="25" t="s">
        <v>855</v>
      </c>
      <c r="G213" s="25" t="s">
        <v>568</v>
      </c>
      <c r="H213" s="25" t="s">
        <v>569</v>
      </c>
      <c r="I213" s="25" t="s">
        <v>856</v>
      </c>
      <c r="J213" s="25" t="s">
        <v>38</v>
      </c>
      <c r="K213" s="25">
        <v>60</v>
      </c>
      <c r="L213" s="25" t="s">
        <v>45</v>
      </c>
      <c r="M213" s="25"/>
      <c r="N213" s="23" t="s">
        <v>55</v>
      </c>
      <c r="O213" s="23" t="s">
        <v>59</v>
      </c>
      <c r="P213" s="26" t="s">
        <v>60</v>
      </c>
      <c r="Q213" s="26">
        <v>1</v>
      </c>
      <c r="R213" s="26" t="s">
        <v>136</v>
      </c>
      <c r="S213" s="26"/>
      <c r="T213" s="26">
        <v>0</v>
      </c>
      <c r="U213" s="22"/>
      <c r="V213" s="23" t="s">
        <v>62</v>
      </c>
      <c r="W213" s="23"/>
      <c r="X213" s="23" t="e">
        <f>IF(COUNTIF(#REF!,_xlfn.TEXTJOIN(".",,C213,F213,H213)),"是","否")</f>
        <v>#REF!</v>
      </c>
      <c r="Y213" s="23" t="e">
        <f t="shared" si="79"/>
        <v>#REF!</v>
      </c>
      <c r="Z213" s="23"/>
      <c r="AA213" s="23"/>
      <c r="AB213" s="23"/>
      <c r="AC213" s="23"/>
      <c r="AD213" s="23"/>
      <c r="AE213" s="23"/>
      <c r="AF213" s="23"/>
      <c r="AG213" s="23"/>
      <c r="AH213" s="23"/>
      <c r="AI213" s="23"/>
      <c r="AJ213" s="1" t="str">
        <f t="shared" si="80"/>
        <v>SYS.ROMA.instance_id,kafka_instance_id,kafka_broker.broker_alive</v>
      </c>
      <c r="AK213" s="1"/>
      <c r="AL213" s="1"/>
    </row>
    <row r="214" spans="1:38" hidden="1" x14ac:dyDescent="0.25">
      <c r="A214" s="24">
        <f t="shared" si="78"/>
        <v>213</v>
      </c>
      <c r="B214" s="25" t="s">
        <v>852</v>
      </c>
      <c r="C214" s="25" t="s">
        <v>853</v>
      </c>
      <c r="D214" s="25" t="s">
        <v>852</v>
      </c>
      <c r="E214" s="25" t="s">
        <v>854</v>
      </c>
      <c r="F214" s="25" t="s">
        <v>855</v>
      </c>
      <c r="G214" s="25" t="s">
        <v>72</v>
      </c>
      <c r="H214" s="25" t="s">
        <v>575</v>
      </c>
      <c r="I214" s="25" t="s">
        <v>857</v>
      </c>
      <c r="J214" s="25" t="s">
        <v>38</v>
      </c>
      <c r="K214" s="25">
        <v>60</v>
      </c>
      <c r="L214" s="25" t="s">
        <v>39</v>
      </c>
      <c r="M214" s="25" t="s">
        <v>58</v>
      </c>
      <c r="N214" s="23" t="s">
        <v>55</v>
      </c>
      <c r="O214" s="23" t="s">
        <v>59</v>
      </c>
      <c r="P214" s="26" t="s">
        <v>60</v>
      </c>
      <c r="Q214" s="26">
        <v>3</v>
      </c>
      <c r="R214" s="26" t="s">
        <v>240</v>
      </c>
      <c r="S214" s="26">
        <v>80</v>
      </c>
      <c r="T214" s="26">
        <v>90</v>
      </c>
      <c r="U214" s="23" t="s">
        <v>58</v>
      </c>
      <c r="V214" s="23" t="s">
        <v>62</v>
      </c>
      <c r="W214" s="23"/>
      <c r="X214" s="23" t="e">
        <f>IF(COUNTIF(#REF!,_xlfn.TEXTJOIN(".",,C214,F214,H214)),"是","否")</f>
        <v>#REF!</v>
      </c>
      <c r="Y214" s="23" t="e">
        <f t="shared" si="79"/>
        <v>#REF!</v>
      </c>
      <c r="Z214" s="23"/>
      <c r="AA214" s="23"/>
      <c r="AB214" s="23"/>
      <c r="AC214" s="23"/>
      <c r="AD214" s="23"/>
      <c r="AE214" s="23"/>
      <c r="AF214" s="23"/>
      <c r="AG214" s="23"/>
      <c r="AH214" s="23"/>
      <c r="AI214" s="23"/>
      <c r="AJ214" s="1" t="str">
        <f t="shared" si="80"/>
        <v>SYS.ROMA.instance_id,kafka_instance_id,kafka_broker.broker_cpu_usage</v>
      </c>
      <c r="AK214" s="1"/>
      <c r="AL214" s="1"/>
    </row>
    <row r="215" spans="1:38" hidden="1" x14ac:dyDescent="0.25">
      <c r="A215" s="24">
        <f t="shared" si="78"/>
        <v>214</v>
      </c>
      <c r="B215" s="25" t="s">
        <v>852</v>
      </c>
      <c r="C215" s="25" t="s">
        <v>853</v>
      </c>
      <c r="D215" s="25" t="s">
        <v>852</v>
      </c>
      <c r="E215" s="25" t="s">
        <v>854</v>
      </c>
      <c r="F215" s="25" t="s">
        <v>855</v>
      </c>
      <c r="G215" s="25" t="s">
        <v>578</v>
      </c>
      <c r="H215" s="25" t="s">
        <v>579</v>
      </c>
      <c r="I215" s="25" t="s">
        <v>580</v>
      </c>
      <c r="J215" s="25" t="s">
        <v>38</v>
      </c>
      <c r="K215" s="25">
        <v>60</v>
      </c>
      <c r="L215" s="25" t="s">
        <v>45</v>
      </c>
      <c r="M215" s="25" t="s">
        <v>44</v>
      </c>
      <c r="N215" s="23" t="s">
        <v>55</v>
      </c>
      <c r="O215" s="23" t="s">
        <v>59</v>
      </c>
      <c r="P215" s="26" t="s">
        <v>60</v>
      </c>
      <c r="Q215" s="26">
        <v>3</v>
      </c>
      <c r="R215" s="26" t="s">
        <v>240</v>
      </c>
      <c r="S215" s="26"/>
      <c r="T215" s="26">
        <v>5000</v>
      </c>
      <c r="U215" s="22" t="s">
        <v>44</v>
      </c>
      <c r="V215" s="23" t="s">
        <v>62</v>
      </c>
      <c r="W215" s="23"/>
      <c r="X215" s="23" t="e">
        <f>IF(COUNTIF(#REF!,_xlfn.TEXTJOIN(".",,C215,F215,H215)),"是","否")</f>
        <v>#REF!</v>
      </c>
      <c r="Y215" s="23" t="e">
        <f t="shared" si="79"/>
        <v>#REF!</v>
      </c>
      <c r="Z215" s="23"/>
      <c r="AA215" s="23"/>
      <c r="AB215" s="23"/>
      <c r="AC215" s="23"/>
      <c r="AD215" s="23"/>
      <c r="AE215" s="23"/>
      <c r="AF215" s="23"/>
      <c r="AG215" s="23"/>
      <c r="AH215" s="23"/>
      <c r="AI215" s="23"/>
      <c r="AJ215" s="1" t="str">
        <f t="shared" si="80"/>
        <v>SYS.ROMA.instance_id,kafka_instance_id,kafka_broker.broker_disk_read_await</v>
      </c>
      <c r="AK215" s="1"/>
      <c r="AL215" s="1"/>
    </row>
    <row r="216" spans="1:38" hidden="1" x14ac:dyDescent="0.25">
      <c r="A216" s="24">
        <f t="shared" si="78"/>
        <v>215</v>
      </c>
      <c r="B216" s="25" t="s">
        <v>852</v>
      </c>
      <c r="C216" s="25" t="s">
        <v>853</v>
      </c>
      <c r="D216" s="25" t="s">
        <v>852</v>
      </c>
      <c r="E216" s="25" t="s">
        <v>854</v>
      </c>
      <c r="F216" s="25" t="s">
        <v>855</v>
      </c>
      <c r="G216" s="25" t="s">
        <v>581</v>
      </c>
      <c r="H216" s="25" t="s">
        <v>582</v>
      </c>
      <c r="I216" s="25" t="s">
        <v>583</v>
      </c>
      <c r="J216" s="25" t="s">
        <v>38</v>
      </c>
      <c r="K216" s="25">
        <v>60</v>
      </c>
      <c r="L216" s="25" t="s">
        <v>45</v>
      </c>
      <c r="M216" s="25" t="s">
        <v>44</v>
      </c>
      <c r="N216" s="23" t="s">
        <v>55</v>
      </c>
      <c r="O216" s="23" t="s">
        <v>59</v>
      </c>
      <c r="P216" s="26" t="s">
        <v>60</v>
      </c>
      <c r="Q216" s="26">
        <v>3</v>
      </c>
      <c r="R216" s="26" t="s">
        <v>240</v>
      </c>
      <c r="S216" s="26"/>
      <c r="T216" s="26">
        <v>5000</v>
      </c>
      <c r="U216" s="22" t="s">
        <v>44</v>
      </c>
      <c r="V216" s="23" t="s">
        <v>62</v>
      </c>
      <c r="W216" s="23"/>
      <c r="X216" s="23" t="e">
        <f>IF(COUNTIF(#REF!,_xlfn.TEXTJOIN(".",,C216,F216,H216)),"是","否")</f>
        <v>#REF!</v>
      </c>
      <c r="Y216" s="23" t="e">
        <f t="shared" si="79"/>
        <v>#REF!</v>
      </c>
      <c r="Z216" s="23"/>
      <c r="AA216" s="23"/>
      <c r="AB216" s="23"/>
      <c r="AC216" s="23"/>
      <c r="AD216" s="23"/>
      <c r="AE216" s="23"/>
      <c r="AF216" s="23"/>
      <c r="AG216" s="23"/>
      <c r="AH216" s="23"/>
      <c r="AI216" s="23"/>
      <c r="AJ216" s="1" t="str">
        <f t="shared" si="80"/>
        <v>SYS.ROMA.instance_id,kafka_instance_id,kafka_broker.broker_disk_write_await</v>
      </c>
      <c r="AK216" s="1"/>
      <c r="AL216" s="1"/>
    </row>
    <row r="217" spans="1:38" hidden="1" x14ac:dyDescent="0.25">
      <c r="A217" s="24">
        <f t="shared" si="78"/>
        <v>216</v>
      </c>
      <c r="B217" s="25" t="s">
        <v>852</v>
      </c>
      <c r="C217" s="25" t="s">
        <v>853</v>
      </c>
      <c r="D217" s="25" t="s">
        <v>852</v>
      </c>
      <c r="E217" s="25" t="s">
        <v>854</v>
      </c>
      <c r="F217" s="25" t="s">
        <v>855</v>
      </c>
      <c r="G217" s="25" t="s">
        <v>563</v>
      </c>
      <c r="H217" s="25" t="s">
        <v>564</v>
      </c>
      <c r="I217" s="25" t="s">
        <v>858</v>
      </c>
      <c r="J217" s="25" t="s">
        <v>38</v>
      </c>
      <c r="K217" s="25">
        <v>60</v>
      </c>
      <c r="L217" s="25" t="s">
        <v>39</v>
      </c>
      <c r="M217" s="25" t="s">
        <v>58</v>
      </c>
      <c r="N217" s="23" t="s">
        <v>55</v>
      </c>
      <c r="O217" s="23" t="s">
        <v>59</v>
      </c>
      <c r="P217" s="26" t="s">
        <v>60</v>
      </c>
      <c r="Q217" s="26">
        <v>3</v>
      </c>
      <c r="R217" s="26" t="s">
        <v>240</v>
      </c>
      <c r="S217" s="26">
        <v>80</v>
      </c>
      <c r="T217" s="26">
        <v>90</v>
      </c>
      <c r="U217" s="23" t="s">
        <v>58</v>
      </c>
      <c r="V217" s="23" t="s">
        <v>62</v>
      </c>
      <c r="W217" s="23"/>
      <c r="X217" s="23" t="e">
        <f>IF(COUNTIF(#REF!,_xlfn.TEXTJOIN(".",,C217,F217,H217)),"是","否")</f>
        <v>#REF!</v>
      </c>
      <c r="Y217" s="23" t="e">
        <f t="shared" si="79"/>
        <v>#REF!</v>
      </c>
      <c r="Z217" s="23"/>
      <c r="AA217" s="23"/>
      <c r="AB217" s="23"/>
      <c r="AC217" s="23"/>
      <c r="AD217" s="23"/>
      <c r="AE217" s="23"/>
      <c r="AF217" s="23"/>
      <c r="AG217" s="23"/>
      <c r="AH217" s="23"/>
      <c r="AI217" s="23"/>
      <c r="AJ217" s="1" t="str">
        <f t="shared" si="80"/>
        <v>SYS.ROMA.instance_id,kafka_instance_id,kafka_broker.broker_disk_usage</v>
      </c>
      <c r="AK217" s="1"/>
      <c r="AL217" s="1"/>
    </row>
    <row r="218" spans="1:38" hidden="1" x14ac:dyDescent="0.25">
      <c r="A218" s="24">
        <f t="shared" si="78"/>
        <v>217</v>
      </c>
      <c r="B218" s="25" t="s">
        <v>852</v>
      </c>
      <c r="C218" s="25" t="s">
        <v>853</v>
      </c>
      <c r="D218" s="25" t="s">
        <v>852</v>
      </c>
      <c r="E218" s="25" t="s">
        <v>854</v>
      </c>
      <c r="F218" s="25" t="s">
        <v>855</v>
      </c>
      <c r="G218" s="25" t="s">
        <v>76</v>
      </c>
      <c r="H218" s="25" t="s">
        <v>566</v>
      </c>
      <c r="I218" s="25" t="s">
        <v>859</v>
      </c>
      <c r="J218" s="25" t="s">
        <v>38</v>
      </c>
      <c r="K218" s="25">
        <v>60</v>
      </c>
      <c r="L218" s="25" t="s">
        <v>39</v>
      </c>
      <c r="M218" s="25" t="s">
        <v>58</v>
      </c>
      <c r="N218" s="23" t="s">
        <v>55</v>
      </c>
      <c r="O218" s="23" t="s">
        <v>59</v>
      </c>
      <c r="P218" s="26" t="s">
        <v>60</v>
      </c>
      <c r="Q218" s="26">
        <v>3</v>
      </c>
      <c r="R218" s="26" t="s">
        <v>240</v>
      </c>
      <c r="S218" s="26">
        <v>80</v>
      </c>
      <c r="T218" s="26">
        <v>90</v>
      </c>
      <c r="U218" s="23" t="s">
        <v>58</v>
      </c>
      <c r="V218" s="23" t="s">
        <v>62</v>
      </c>
      <c r="W218" s="23"/>
      <c r="X218" s="23" t="e">
        <f>IF(COUNTIF(#REF!,_xlfn.TEXTJOIN(".",,C218,F218,H218)),"是","否")</f>
        <v>#REF!</v>
      </c>
      <c r="Y218" s="23" t="e">
        <f t="shared" si="79"/>
        <v>#REF!</v>
      </c>
      <c r="Z218" s="23"/>
      <c r="AA218" s="23"/>
      <c r="AB218" s="23"/>
      <c r="AC218" s="23"/>
      <c r="AD218" s="23"/>
      <c r="AE218" s="23"/>
      <c r="AF218" s="23"/>
      <c r="AG218" s="23"/>
      <c r="AH218" s="23"/>
      <c r="AI218" s="23"/>
      <c r="AJ218" s="1" t="str">
        <f t="shared" si="80"/>
        <v>SYS.ROMA.instance_id,kafka_instance_id,kafka_broker.broker_memory_usage</v>
      </c>
      <c r="AK218" s="1"/>
      <c r="AL218" s="1"/>
    </row>
    <row r="219" spans="1:38" hidden="1" x14ac:dyDescent="0.25">
      <c r="A219" s="24">
        <f t="shared" si="78"/>
        <v>218</v>
      </c>
      <c r="B219" s="25" t="s">
        <v>852</v>
      </c>
      <c r="C219" s="25" t="s">
        <v>853</v>
      </c>
      <c r="D219" s="25" t="s">
        <v>852</v>
      </c>
      <c r="E219" s="25" t="s">
        <v>854</v>
      </c>
      <c r="F219" s="25" t="s">
        <v>855</v>
      </c>
      <c r="G219" s="25" t="s">
        <v>860</v>
      </c>
      <c r="H219" s="25" t="s">
        <v>681</v>
      </c>
      <c r="I219" s="25" t="s">
        <v>861</v>
      </c>
      <c r="J219" s="25" t="s">
        <v>38</v>
      </c>
      <c r="K219" s="25">
        <v>60</v>
      </c>
      <c r="L219" s="25" t="s">
        <v>39</v>
      </c>
      <c r="M219" s="25" t="s">
        <v>58</v>
      </c>
      <c r="N219" s="23" t="s">
        <v>55</v>
      </c>
      <c r="O219" s="23" t="s">
        <v>59</v>
      </c>
      <c r="P219" s="26" t="s">
        <v>60</v>
      </c>
      <c r="Q219" s="26">
        <v>3</v>
      </c>
      <c r="R219" s="26" t="s">
        <v>240</v>
      </c>
      <c r="S219" s="26">
        <v>80</v>
      </c>
      <c r="T219" s="26">
        <v>90</v>
      </c>
      <c r="U219" s="23" t="s">
        <v>58</v>
      </c>
      <c r="V219" s="23" t="s">
        <v>62</v>
      </c>
      <c r="W219" s="23"/>
      <c r="X219" s="23" t="e">
        <f>IF(COUNTIF(#REF!,_xlfn.TEXTJOIN(".",,C219,F219,H219)),"是","否")</f>
        <v>#REF!</v>
      </c>
      <c r="Y219" s="23" t="e">
        <f t="shared" si="79"/>
        <v>#REF!</v>
      </c>
      <c r="Z219" s="23"/>
      <c r="AA219" s="23"/>
      <c r="AB219" s="23"/>
      <c r="AC219" s="23"/>
      <c r="AD219" s="23"/>
      <c r="AE219" s="23"/>
      <c r="AF219" s="23"/>
      <c r="AG219" s="23"/>
      <c r="AH219" s="23"/>
      <c r="AI219" s="23"/>
      <c r="AJ219" s="1" t="str">
        <f t="shared" si="80"/>
        <v>SYS.ROMA.instance_id,kafka_instance_id,kafka_broker.broker_heap_usage</v>
      </c>
      <c r="AK219" s="1"/>
      <c r="AL219" s="1"/>
    </row>
    <row r="220" spans="1:38" hidden="1" x14ac:dyDescent="0.25">
      <c r="A220" s="24">
        <f t="shared" si="78"/>
        <v>219</v>
      </c>
      <c r="B220" s="25" t="s">
        <v>852</v>
      </c>
      <c r="C220" s="25" t="s">
        <v>853</v>
      </c>
      <c r="D220" s="25" t="s">
        <v>852</v>
      </c>
      <c r="E220" s="25" t="s">
        <v>862</v>
      </c>
      <c r="F220" s="25" t="s">
        <v>863</v>
      </c>
      <c r="G220" s="25" t="s">
        <v>864</v>
      </c>
      <c r="H220" s="25" t="s">
        <v>645</v>
      </c>
      <c r="I220" s="25" t="s">
        <v>865</v>
      </c>
      <c r="J220" s="25" t="s">
        <v>38</v>
      </c>
      <c r="K220" s="25">
        <v>60</v>
      </c>
      <c r="L220" s="25" t="s">
        <v>45</v>
      </c>
      <c r="M220" s="25" t="s">
        <v>83</v>
      </c>
      <c r="N220" s="23" t="s">
        <v>55</v>
      </c>
      <c r="O220" s="23" t="s">
        <v>59</v>
      </c>
      <c r="P220" s="26" t="s">
        <v>60</v>
      </c>
      <c r="Q220" s="26">
        <v>1</v>
      </c>
      <c r="R220" s="26" t="s">
        <v>61</v>
      </c>
      <c r="S220" s="26">
        <v>10000</v>
      </c>
      <c r="T220" s="23"/>
      <c r="U220" s="22" t="s">
        <v>83</v>
      </c>
      <c r="V220" s="23" t="s">
        <v>62</v>
      </c>
      <c r="W220" s="23"/>
      <c r="X220" s="23" t="e">
        <f>IF(COUNTIF(#REF!,_xlfn.TEXTJOIN(".",,C220,F220,H220)),"是","否")</f>
        <v>#REF!</v>
      </c>
      <c r="Y220" s="23" t="e">
        <f t="shared" si="79"/>
        <v>#REF!</v>
      </c>
      <c r="Z220" s="23"/>
      <c r="AA220" s="23"/>
      <c r="AB220" s="23"/>
      <c r="AC220" s="23"/>
      <c r="AD220" s="23"/>
      <c r="AE220" s="23"/>
      <c r="AF220" s="23"/>
      <c r="AG220" s="23"/>
      <c r="AH220" s="23"/>
      <c r="AI220" s="23"/>
      <c r="AJ220" s="1" t="str">
        <f t="shared" si="80"/>
        <v>SYS.ROMA.instance_id,reliablemq_instance_id.instance_accumulation</v>
      </c>
      <c r="AK220" s="1"/>
      <c r="AL220" s="1"/>
    </row>
    <row r="221" spans="1:38" hidden="1" x14ac:dyDescent="0.25">
      <c r="A221" s="24">
        <f t="shared" si="78"/>
        <v>220</v>
      </c>
      <c r="B221" s="25" t="s">
        <v>852</v>
      </c>
      <c r="C221" s="25" t="s">
        <v>853</v>
      </c>
      <c r="D221" s="25" t="s">
        <v>852</v>
      </c>
      <c r="E221" s="25" t="s">
        <v>866</v>
      </c>
      <c r="F221" s="25" t="s">
        <v>867</v>
      </c>
      <c r="G221" s="25" t="s">
        <v>48</v>
      </c>
      <c r="H221" s="25" t="s">
        <v>142</v>
      </c>
      <c r="I221" s="25" t="s">
        <v>770</v>
      </c>
      <c r="J221" s="25" t="s">
        <v>38</v>
      </c>
      <c r="K221" s="25">
        <v>60</v>
      </c>
      <c r="L221" s="25" t="s">
        <v>39</v>
      </c>
      <c r="M221" s="25" t="s">
        <v>141</v>
      </c>
      <c r="N221" s="23" t="s">
        <v>55</v>
      </c>
      <c r="O221" s="23" t="s">
        <v>59</v>
      </c>
      <c r="P221" s="26" t="s">
        <v>60</v>
      </c>
      <c r="Q221" s="26">
        <v>1</v>
      </c>
      <c r="R221" s="26" t="s">
        <v>334</v>
      </c>
      <c r="S221" s="26">
        <v>20</v>
      </c>
      <c r="T221" s="26">
        <v>30</v>
      </c>
      <c r="U221" s="23" t="s">
        <v>58</v>
      </c>
      <c r="V221" s="23" t="s">
        <v>62</v>
      </c>
      <c r="W221" s="23"/>
      <c r="X221" s="23" t="e">
        <f>IF(COUNTIF(#REF!,_xlfn.TEXTJOIN(".",,C221,F221,H221)),"是","否")</f>
        <v>#REF!</v>
      </c>
      <c r="Y221" s="23" t="e">
        <f t="shared" si="79"/>
        <v>#REF!</v>
      </c>
      <c r="Z221" s="23"/>
      <c r="AA221" s="23"/>
      <c r="AB221" s="23"/>
      <c r="AC221" s="23"/>
      <c r="AD221" s="23"/>
      <c r="AE221" s="23"/>
      <c r="AF221" s="23"/>
      <c r="AG221" s="23"/>
      <c r="AH221" s="23"/>
      <c r="AI221" s="23"/>
      <c r="AJ221" s="1" t="str">
        <f t="shared" si="80"/>
        <v>SYS.ROMA.instance_id,apic,api_id.req_count_5xx</v>
      </c>
      <c r="AK221" s="1"/>
      <c r="AL221" s="1"/>
    </row>
    <row r="222" spans="1:38" hidden="1" x14ac:dyDescent="0.25">
      <c r="A222" s="24">
        <f t="shared" si="78"/>
        <v>221</v>
      </c>
      <c r="B222" s="25" t="s">
        <v>852</v>
      </c>
      <c r="C222" s="25" t="s">
        <v>853</v>
      </c>
      <c r="D222" s="25" t="s">
        <v>852</v>
      </c>
      <c r="E222" s="25" t="s">
        <v>866</v>
      </c>
      <c r="F222" s="25" t="s">
        <v>867</v>
      </c>
      <c r="G222" s="25" t="s">
        <v>378</v>
      </c>
      <c r="H222" s="25" t="s">
        <v>140</v>
      </c>
      <c r="I222" s="25" t="s">
        <v>868</v>
      </c>
      <c r="J222" s="25" t="s">
        <v>38</v>
      </c>
      <c r="K222" s="25">
        <v>60</v>
      </c>
      <c r="L222" s="25" t="s">
        <v>39</v>
      </c>
      <c r="M222" s="25" t="s">
        <v>139</v>
      </c>
      <c r="N222" s="23" t="s">
        <v>55</v>
      </c>
      <c r="O222" s="23" t="s">
        <v>59</v>
      </c>
      <c r="P222" s="26" t="s">
        <v>60</v>
      </c>
      <c r="Q222" s="26">
        <v>3</v>
      </c>
      <c r="R222" s="26" t="s">
        <v>240</v>
      </c>
      <c r="S222" s="26">
        <v>3000</v>
      </c>
      <c r="T222" s="26">
        <v>5000</v>
      </c>
      <c r="U222" s="22" t="s">
        <v>139</v>
      </c>
      <c r="V222" s="23" t="s">
        <v>62</v>
      </c>
      <c r="W222" s="23"/>
      <c r="X222" s="23" t="e">
        <f>IF(COUNTIF(#REF!,_xlfn.TEXTJOIN(".",,C222,F222,H222)),"是","否")</f>
        <v>#REF!</v>
      </c>
      <c r="Y222" s="23" t="e">
        <f t="shared" si="79"/>
        <v>#REF!</v>
      </c>
      <c r="Z222" s="23"/>
      <c r="AA222" s="23"/>
      <c r="AB222" s="23"/>
      <c r="AC222" s="23"/>
      <c r="AD222" s="23"/>
      <c r="AE222" s="23"/>
      <c r="AF222" s="23"/>
      <c r="AG222" s="23"/>
      <c r="AH222" s="23"/>
      <c r="AI222" s="23"/>
      <c r="AJ222" s="1" t="str">
        <f t="shared" si="80"/>
        <v>SYS.ROMA.instance_id,apic,api_id.avg_latency</v>
      </c>
      <c r="AK222" s="1"/>
      <c r="AL222" s="1"/>
    </row>
    <row r="223" spans="1:38" hidden="1" x14ac:dyDescent="0.25">
      <c r="A223" s="24">
        <f t="shared" si="78"/>
        <v>222</v>
      </c>
      <c r="B223" s="25" t="s">
        <v>852</v>
      </c>
      <c r="C223" s="25" t="s">
        <v>853</v>
      </c>
      <c r="D223" s="25" t="s">
        <v>852</v>
      </c>
      <c r="E223" s="25" t="s">
        <v>869</v>
      </c>
      <c r="F223" s="25" t="s">
        <v>870</v>
      </c>
      <c r="G223" s="25" t="s">
        <v>871</v>
      </c>
      <c r="H223" s="25" t="s">
        <v>872</v>
      </c>
      <c r="I223" s="22" t="s">
        <v>873</v>
      </c>
      <c r="J223" s="22" t="s">
        <v>38</v>
      </c>
      <c r="K223" s="22">
        <v>60</v>
      </c>
      <c r="L223" s="22"/>
      <c r="M223" s="22" t="s">
        <v>83</v>
      </c>
      <c r="N223" s="23" t="s">
        <v>55</v>
      </c>
      <c r="O223" s="23" t="s">
        <v>59</v>
      </c>
      <c r="P223" s="23" t="s">
        <v>60</v>
      </c>
      <c r="Q223" s="23">
        <v>3</v>
      </c>
      <c r="R223" s="23" t="s">
        <v>61</v>
      </c>
      <c r="S223" s="23">
        <v>100000</v>
      </c>
      <c r="T223" s="23"/>
      <c r="U223" s="22"/>
      <c r="V223" s="23" t="s">
        <v>62</v>
      </c>
      <c r="W223" s="23"/>
      <c r="X223" s="23" t="e">
        <f>IF(COUNTIF(#REF!,_xlfn.TEXTJOIN(".",,C223,F223,H223)),"是","否")</f>
        <v>#REF!</v>
      </c>
      <c r="Y223" s="23" t="e">
        <f t="shared" si="79"/>
        <v>#REF!</v>
      </c>
      <c r="Z223" s="23"/>
      <c r="AA223" s="23"/>
      <c r="AB223" s="23"/>
      <c r="AC223" s="23"/>
      <c r="AD223" s="23"/>
      <c r="AE223" s="23"/>
      <c r="AF223" s="23"/>
      <c r="AG223" s="23"/>
      <c r="AH223" s="23"/>
      <c r="AI223" s="23"/>
      <c r="AJ223" s="1" t="str">
        <f t="shared" si="80"/>
        <v>SYS.ROMA.instance_id,link.online_connections</v>
      </c>
      <c r="AK223" s="1"/>
      <c r="AL223" s="1"/>
    </row>
    <row r="224" spans="1:38" hidden="1" x14ac:dyDescent="0.25">
      <c r="A224" s="24">
        <f t="shared" si="78"/>
        <v>223</v>
      </c>
      <c r="B224" s="25" t="s">
        <v>852</v>
      </c>
      <c r="C224" s="25" t="s">
        <v>853</v>
      </c>
      <c r="D224" s="25" t="s">
        <v>852</v>
      </c>
      <c r="E224" s="25" t="s">
        <v>869</v>
      </c>
      <c r="F224" s="25" t="s">
        <v>870</v>
      </c>
      <c r="G224" s="25" t="s">
        <v>874</v>
      </c>
      <c r="H224" s="25" t="s">
        <v>875</v>
      </c>
      <c r="I224" s="25" t="s">
        <v>876</v>
      </c>
      <c r="J224" s="25" t="s">
        <v>38</v>
      </c>
      <c r="K224" s="25">
        <v>60</v>
      </c>
      <c r="L224" s="25"/>
      <c r="M224" s="25" t="s">
        <v>139</v>
      </c>
      <c r="N224" s="23" t="s">
        <v>55</v>
      </c>
      <c r="O224" s="23" t="s">
        <v>59</v>
      </c>
      <c r="P224" s="26" t="s">
        <v>60</v>
      </c>
      <c r="Q224" s="26">
        <v>3</v>
      </c>
      <c r="R224" s="26" t="s">
        <v>240</v>
      </c>
      <c r="S224" s="26">
        <v>500</v>
      </c>
      <c r="T224" s="26">
        <v>1000</v>
      </c>
      <c r="U224" s="22" t="s">
        <v>139</v>
      </c>
      <c r="V224" s="23" t="s">
        <v>62</v>
      </c>
      <c r="W224" s="23"/>
      <c r="X224" s="23" t="e">
        <f>IF(COUNTIF(#REF!,_xlfn.TEXTJOIN(".",,C224,F224,H224)),"是","否")</f>
        <v>#REF!</v>
      </c>
      <c r="Y224" s="23" t="e">
        <f t="shared" si="79"/>
        <v>#REF!</v>
      </c>
      <c r="Z224" s="23"/>
      <c r="AA224" s="23"/>
      <c r="AB224" s="23"/>
      <c r="AC224" s="23"/>
      <c r="AD224" s="23"/>
      <c r="AE224" s="23"/>
      <c r="AF224" s="23"/>
      <c r="AG224" s="23"/>
      <c r="AH224" s="23"/>
      <c r="AI224" s="23"/>
      <c r="AJ224" s="1" t="str">
        <f t="shared" si="80"/>
        <v>SYS.ROMA.instance_id,link.msg_max_latency</v>
      </c>
      <c r="AK224" s="1"/>
      <c r="AL224" s="1"/>
    </row>
    <row r="225" spans="1:38" hidden="1" x14ac:dyDescent="0.25">
      <c r="A225" s="24">
        <f t="shared" si="78"/>
        <v>224</v>
      </c>
      <c r="B225" s="25" t="s">
        <v>852</v>
      </c>
      <c r="C225" s="25" t="s">
        <v>853</v>
      </c>
      <c r="D225" s="25" t="s">
        <v>852</v>
      </c>
      <c r="E225" s="25" t="s">
        <v>877</v>
      </c>
      <c r="F225" s="25" t="s">
        <v>878</v>
      </c>
      <c r="G225" s="25" t="s">
        <v>879</v>
      </c>
      <c r="H225" s="25" t="s">
        <v>880</v>
      </c>
      <c r="I225" s="25" t="s">
        <v>881</v>
      </c>
      <c r="J225" s="25" t="s">
        <v>38</v>
      </c>
      <c r="K225" s="25">
        <v>60</v>
      </c>
      <c r="L225" s="25"/>
      <c r="M225" s="25" t="s">
        <v>83</v>
      </c>
      <c r="N225" s="23" t="s">
        <v>55</v>
      </c>
      <c r="O225" s="23" t="s">
        <v>59</v>
      </c>
      <c r="P225" s="26" t="s">
        <v>60</v>
      </c>
      <c r="Q225" s="26">
        <v>1</v>
      </c>
      <c r="R225" s="26" t="s">
        <v>240</v>
      </c>
      <c r="S225" s="26"/>
      <c r="T225" s="26">
        <v>1</v>
      </c>
      <c r="U225" s="22" t="s">
        <v>83</v>
      </c>
      <c r="V225" s="23" t="s">
        <v>62</v>
      </c>
      <c r="W225" s="23"/>
      <c r="X225" s="23" t="e">
        <f>IF(COUNTIF(#REF!,_xlfn.TEXTJOIN(".",,C225,F225,H225)),"是","否")</f>
        <v>#REF!</v>
      </c>
      <c r="Y225" s="23" t="e">
        <f t="shared" si="79"/>
        <v>#REF!</v>
      </c>
      <c r="Z225" s="23"/>
      <c r="AA225" s="23"/>
      <c r="AB225" s="23"/>
      <c r="AC225" s="23"/>
      <c r="AD225" s="23"/>
      <c r="AE225" s="23"/>
      <c r="AF225" s="23"/>
      <c r="AG225" s="23"/>
      <c r="AH225" s="23"/>
      <c r="AI225" s="23"/>
      <c r="AJ225" s="1" t="str">
        <f t="shared" si="80"/>
        <v>SYS.ROMA.instance_id,fdi.fail_task_count</v>
      </c>
      <c r="AK225" s="1"/>
      <c r="AL225" s="1"/>
    </row>
    <row r="226" spans="1:38" hidden="1" x14ac:dyDescent="0.25">
      <c r="A226" s="24">
        <f t="shared" ref="A226:A238" si="81">ROW()-1</f>
        <v>225</v>
      </c>
      <c r="B226" s="25" t="s">
        <v>852</v>
      </c>
      <c r="C226" s="25" t="s">
        <v>853</v>
      </c>
      <c r="D226" s="25" t="s">
        <v>852</v>
      </c>
      <c r="E226" s="25" t="s">
        <v>882</v>
      </c>
      <c r="F226" s="25" t="s">
        <v>883</v>
      </c>
      <c r="G226" s="25" t="s">
        <v>884</v>
      </c>
      <c r="H226" s="25" t="s">
        <v>781</v>
      </c>
      <c r="I226" s="25" t="s">
        <v>885</v>
      </c>
      <c r="J226" s="25" t="s">
        <v>38</v>
      </c>
      <c r="K226" s="25">
        <v>300</v>
      </c>
      <c r="L226" s="25" t="s">
        <v>39</v>
      </c>
      <c r="M226" s="25" t="s">
        <v>58</v>
      </c>
      <c r="N226" s="23" t="s">
        <v>55</v>
      </c>
      <c r="O226" s="23" t="s">
        <v>59</v>
      </c>
      <c r="P226" s="26" t="s">
        <v>60</v>
      </c>
      <c r="Q226" s="26">
        <v>3</v>
      </c>
      <c r="R226" s="26" t="s">
        <v>240</v>
      </c>
      <c r="S226" s="26">
        <v>80</v>
      </c>
      <c r="T226" s="26">
        <v>90</v>
      </c>
      <c r="U226" s="23" t="s">
        <v>58</v>
      </c>
      <c r="V226" s="23" t="s">
        <v>62</v>
      </c>
      <c r="W226" s="23"/>
      <c r="X226" s="23" t="e">
        <f>IF(COUNTIF(#REF!,_xlfn.TEXTJOIN(".",,C226,F226,H226)),"是","否")</f>
        <v>#REF!</v>
      </c>
      <c r="Y226" s="23" t="e">
        <f t="shared" ref="Y226:Y238" si="82">IF(AND(O226="底线指标",X226="是"),"是","否")</f>
        <v>#REF!</v>
      </c>
      <c r="Z226" s="23"/>
      <c r="AA226" s="23"/>
      <c r="AB226" s="23"/>
      <c r="AC226" s="23"/>
      <c r="AD226" s="23"/>
      <c r="AE226" s="23"/>
      <c r="AF226" s="23"/>
      <c r="AG226" s="23"/>
      <c r="AH226" s="23"/>
      <c r="AI226" s="23"/>
      <c r="AJ226" s="1" t="str">
        <f t="shared" ref="AJ226:AJ238" si="83">_xlfn.TEXTJOIN(".",TRUE,C226,F226,H226)</f>
        <v>SYS.ROMA.instance_id,fdi,node_id.node_memory_usage</v>
      </c>
      <c r="AK226" s="1"/>
      <c r="AL226" s="1"/>
    </row>
    <row r="227" spans="1:38" hidden="1" x14ac:dyDescent="0.25">
      <c r="A227" s="24">
        <f t="shared" si="81"/>
        <v>226</v>
      </c>
      <c r="B227" s="25" t="s">
        <v>852</v>
      </c>
      <c r="C227" s="25" t="s">
        <v>853</v>
      </c>
      <c r="D227" s="25" t="s">
        <v>852</v>
      </c>
      <c r="E227" s="25" t="s">
        <v>882</v>
      </c>
      <c r="F227" s="25" t="s">
        <v>883</v>
      </c>
      <c r="G227" s="25" t="s">
        <v>886</v>
      </c>
      <c r="H227" s="25" t="s">
        <v>887</v>
      </c>
      <c r="I227" s="25" t="s">
        <v>888</v>
      </c>
      <c r="J227" s="25" t="s">
        <v>38</v>
      </c>
      <c r="K227" s="25">
        <v>300</v>
      </c>
      <c r="L227" s="25" t="s">
        <v>39</v>
      </c>
      <c r="M227" s="25" t="s">
        <v>58</v>
      </c>
      <c r="N227" s="23" t="s">
        <v>55</v>
      </c>
      <c r="O227" s="23" t="s">
        <v>59</v>
      </c>
      <c r="P227" s="26" t="s">
        <v>60</v>
      </c>
      <c r="Q227" s="26">
        <v>3</v>
      </c>
      <c r="R227" s="26" t="s">
        <v>240</v>
      </c>
      <c r="S227" s="26">
        <v>80</v>
      </c>
      <c r="T227" s="26">
        <v>90</v>
      </c>
      <c r="U227" s="23" t="s">
        <v>58</v>
      </c>
      <c r="V227" s="23" t="s">
        <v>62</v>
      </c>
      <c r="W227" s="23"/>
      <c r="X227" s="23" t="e">
        <f>IF(COUNTIF(#REF!,_xlfn.TEXTJOIN(".",,C227,F227,H227)),"是","否")</f>
        <v>#REF!</v>
      </c>
      <c r="Y227" s="23" t="e">
        <f t="shared" si="82"/>
        <v>#REF!</v>
      </c>
      <c r="Z227" s="23"/>
      <c r="AA227" s="23"/>
      <c r="AB227" s="23"/>
      <c r="AC227" s="23"/>
      <c r="AD227" s="23"/>
      <c r="AE227" s="23"/>
      <c r="AF227" s="23"/>
      <c r="AG227" s="23"/>
      <c r="AH227" s="23"/>
      <c r="AI227" s="23"/>
      <c r="AJ227" s="1" t="str">
        <f t="shared" si="83"/>
        <v>SYS.ROMA.instance_id,fdi,node_id.node_heap_usage</v>
      </c>
      <c r="AK227" s="1"/>
      <c r="AL227" s="1"/>
    </row>
    <row r="228" spans="1:38" hidden="1" x14ac:dyDescent="0.25">
      <c r="A228" s="24">
        <f t="shared" si="81"/>
        <v>227</v>
      </c>
      <c r="B228" s="25" t="s">
        <v>852</v>
      </c>
      <c r="C228" s="25" t="s">
        <v>853</v>
      </c>
      <c r="D228" s="25" t="s">
        <v>852</v>
      </c>
      <c r="E228" s="25" t="s">
        <v>882</v>
      </c>
      <c r="F228" s="25" t="s">
        <v>883</v>
      </c>
      <c r="G228" s="25" t="s">
        <v>72</v>
      </c>
      <c r="H228" s="25" t="s">
        <v>778</v>
      </c>
      <c r="I228" s="25" t="s">
        <v>576</v>
      </c>
      <c r="J228" s="25" t="s">
        <v>38</v>
      </c>
      <c r="K228" s="25">
        <v>300</v>
      </c>
      <c r="L228" s="25" t="s">
        <v>39</v>
      </c>
      <c r="M228" s="25" t="s">
        <v>58</v>
      </c>
      <c r="N228" s="23" t="s">
        <v>55</v>
      </c>
      <c r="O228" s="23" t="s">
        <v>59</v>
      </c>
      <c r="P228" s="26" t="s">
        <v>60</v>
      </c>
      <c r="Q228" s="26">
        <v>3</v>
      </c>
      <c r="R228" s="26" t="s">
        <v>240</v>
      </c>
      <c r="S228" s="26">
        <v>80</v>
      </c>
      <c r="T228" s="26">
        <v>90</v>
      </c>
      <c r="U228" s="23" t="s">
        <v>58</v>
      </c>
      <c r="V228" s="23" t="s">
        <v>62</v>
      </c>
      <c r="W228" s="23"/>
      <c r="X228" s="23" t="e">
        <f>IF(COUNTIF(#REF!,_xlfn.TEXTJOIN(".",,C228,F228,H228)),"是","否")</f>
        <v>#REF!</v>
      </c>
      <c r="Y228" s="23" t="e">
        <f t="shared" si="82"/>
        <v>#REF!</v>
      </c>
      <c r="Z228" s="23"/>
      <c r="AA228" s="23"/>
      <c r="AB228" s="23"/>
      <c r="AC228" s="23"/>
      <c r="AD228" s="23"/>
      <c r="AE228" s="23"/>
      <c r="AF228" s="23"/>
      <c r="AG228" s="23"/>
      <c r="AH228" s="23"/>
      <c r="AI228" s="23"/>
      <c r="AJ228" s="1" t="str">
        <f t="shared" si="83"/>
        <v>SYS.ROMA.instance_id,fdi,node_id.node_cpu_usage</v>
      </c>
      <c r="AK228" s="1"/>
      <c r="AL228" s="1"/>
    </row>
    <row r="229" spans="1:38" hidden="1" x14ac:dyDescent="0.25">
      <c r="A229" s="24">
        <f t="shared" si="81"/>
        <v>228</v>
      </c>
      <c r="B229" s="25" t="s">
        <v>852</v>
      </c>
      <c r="C229" s="25" t="s">
        <v>853</v>
      </c>
      <c r="D229" s="25" t="s">
        <v>852</v>
      </c>
      <c r="E229" s="25" t="s">
        <v>882</v>
      </c>
      <c r="F229" s="25" t="s">
        <v>883</v>
      </c>
      <c r="G229" s="25" t="s">
        <v>563</v>
      </c>
      <c r="H229" s="25" t="s">
        <v>889</v>
      </c>
      <c r="I229" s="25" t="s">
        <v>890</v>
      </c>
      <c r="J229" s="25" t="s">
        <v>38</v>
      </c>
      <c r="K229" s="25">
        <v>300</v>
      </c>
      <c r="L229" s="25" t="s">
        <v>39</v>
      </c>
      <c r="M229" s="25" t="s">
        <v>58</v>
      </c>
      <c r="N229" s="23" t="s">
        <v>55</v>
      </c>
      <c r="O229" s="23" t="s">
        <v>59</v>
      </c>
      <c r="P229" s="26" t="s">
        <v>60</v>
      </c>
      <c r="Q229" s="26">
        <v>3</v>
      </c>
      <c r="R229" s="26" t="s">
        <v>240</v>
      </c>
      <c r="S229" s="26">
        <v>80</v>
      </c>
      <c r="T229" s="26">
        <v>90</v>
      </c>
      <c r="U229" s="23" t="s">
        <v>58</v>
      </c>
      <c r="V229" s="23" t="s">
        <v>62</v>
      </c>
      <c r="W229" s="23"/>
      <c r="X229" s="23" t="e">
        <f>IF(COUNTIF(#REF!,_xlfn.TEXTJOIN(".",,C229,F229,H229)),"是","否")</f>
        <v>#REF!</v>
      </c>
      <c r="Y229" s="23" t="e">
        <f t="shared" si="82"/>
        <v>#REF!</v>
      </c>
      <c r="Z229" s="23"/>
      <c r="AA229" s="23"/>
      <c r="AB229" s="23"/>
      <c r="AC229" s="23"/>
      <c r="AD229" s="23"/>
      <c r="AE229" s="23"/>
      <c r="AF229" s="23"/>
      <c r="AG229" s="23"/>
      <c r="AH229" s="23"/>
      <c r="AI229" s="23"/>
      <c r="AJ229" s="1" t="str">
        <f t="shared" si="83"/>
        <v>SYS.ROMA.instance_id,fdi,node_id.node_disk_usage</v>
      </c>
      <c r="AK229" s="1"/>
      <c r="AL229" s="1"/>
    </row>
    <row r="230" spans="1:38" hidden="1" x14ac:dyDescent="0.25">
      <c r="A230" s="24">
        <f t="shared" si="81"/>
        <v>229</v>
      </c>
      <c r="B230" s="25" t="s">
        <v>852</v>
      </c>
      <c r="C230" s="25" t="s">
        <v>853</v>
      </c>
      <c r="D230" s="25" t="s">
        <v>852</v>
      </c>
      <c r="E230" s="25" t="s">
        <v>891</v>
      </c>
      <c r="F230" s="25" t="s">
        <v>892</v>
      </c>
      <c r="G230" s="25" t="s">
        <v>864</v>
      </c>
      <c r="H230" s="25" t="s">
        <v>667</v>
      </c>
      <c r="I230" s="25" t="s">
        <v>893</v>
      </c>
      <c r="J230" s="25" t="s">
        <v>38</v>
      </c>
      <c r="K230" s="25">
        <v>60</v>
      </c>
      <c r="L230" s="25"/>
      <c r="M230" s="25" t="s">
        <v>83</v>
      </c>
      <c r="N230" s="23" t="s">
        <v>55</v>
      </c>
      <c r="O230" s="23" t="s">
        <v>59</v>
      </c>
      <c r="P230" s="26" t="s">
        <v>60</v>
      </c>
      <c r="Q230" s="26">
        <v>1</v>
      </c>
      <c r="R230" s="26" t="s">
        <v>61</v>
      </c>
      <c r="S230" s="26">
        <v>10000</v>
      </c>
      <c r="T230" s="23"/>
      <c r="U230" s="22" t="s">
        <v>83</v>
      </c>
      <c r="V230" s="23" t="s">
        <v>62</v>
      </c>
      <c r="W230" s="23"/>
      <c r="X230" s="23" t="e">
        <f>IF(COUNTIF(#REF!,_xlfn.TEXTJOIN(".",,C230,F230,H230)),"是","否")</f>
        <v>#REF!</v>
      </c>
      <c r="Y230" s="23" t="e">
        <f t="shared" si="82"/>
        <v>#REF!</v>
      </c>
      <c r="Z230" s="23"/>
      <c r="AA230" s="23"/>
      <c r="AB230" s="23"/>
      <c r="AC230" s="23"/>
      <c r="AD230" s="23"/>
      <c r="AE230" s="23"/>
      <c r="AF230" s="23"/>
      <c r="AG230" s="23"/>
      <c r="AH230" s="23"/>
      <c r="AI230" s="23"/>
      <c r="AJ230" s="1" t="str">
        <f t="shared" si="83"/>
        <v>SYS.ROMA.instance_id,kafka_instance_id.group_msgs</v>
      </c>
      <c r="AK230" s="1"/>
      <c r="AL230" s="1"/>
    </row>
    <row r="231" spans="1:38" hidden="1" x14ac:dyDescent="0.25">
      <c r="A231" s="24">
        <f t="shared" si="81"/>
        <v>230</v>
      </c>
      <c r="B231" s="25" t="s">
        <v>852</v>
      </c>
      <c r="C231" s="25" t="s">
        <v>853</v>
      </c>
      <c r="D231" s="25" t="s">
        <v>852</v>
      </c>
      <c r="E231" s="25" t="s">
        <v>894</v>
      </c>
      <c r="F231" s="25" t="s">
        <v>895</v>
      </c>
      <c r="G231" s="25" t="s">
        <v>563</v>
      </c>
      <c r="H231" s="25" t="s">
        <v>564</v>
      </c>
      <c r="I231" s="25" t="s">
        <v>858</v>
      </c>
      <c r="J231" s="25" t="s">
        <v>38</v>
      </c>
      <c r="K231" s="25">
        <v>60</v>
      </c>
      <c r="L231" s="25" t="s">
        <v>39</v>
      </c>
      <c r="M231" s="25" t="s">
        <v>58</v>
      </c>
      <c r="N231" s="23" t="s">
        <v>55</v>
      </c>
      <c r="O231" s="23" t="s">
        <v>59</v>
      </c>
      <c r="P231" s="26" t="s">
        <v>60</v>
      </c>
      <c r="Q231" s="26">
        <v>3</v>
      </c>
      <c r="R231" s="26" t="s">
        <v>240</v>
      </c>
      <c r="S231" s="26">
        <v>80</v>
      </c>
      <c r="T231" s="26">
        <v>90</v>
      </c>
      <c r="U231" s="23" t="s">
        <v>58</v>
      </c>
      <c r="V231" s="23" t="s">
        <v>62</v>
      </c>
      <c r="W231" s="23"/>
      <c r="X231" s="23" t="e">
        <f>IF(COUNTIF(#REF!,_xlfn.TEXTJOIN(".",,C231,F231,H231)),"是","否")</f>
        <v>#REF!</v>
      </c>
      <c r="Y231" s="23" t="e">
        <f t="shared" si="82"/>
        <v>#REF!</v>
      </c>
      <c r="Z231" s="23"/>
      <c r="AA231" s="23"/>
      <c r="AB231" s="23"/>
      <c r="AC231" s="23"/>
      <c r="AD231" s="23"/>
      <c r="AE231" s="23"/>
      <c r="AF231" s="23"/>
      <c r="AG231" s="23"/>
      <c r="AH231" s="23"/>
      <c r="AI231" s="23"/>
      <c r="AJ231" s="1" t="str">
        <f t="shared" si="83"/>
        <v>SYS.ROMA.instance_id,reliablemq_instance_id,reliablemq_broker.broker_disk_usage</v>
      </c>
      <c r="AK231" s="1"/>
      <c r="AL231" s="1"/>
    </row>
    <row r="232" spans="1:38" hidden="1" x14ac:dyDescent="0.25">
      <c r="A232" s="24">
        <f t="shared" si="81"/>
        <v>231</v>
      </c>
      <c r="B232" s="25" t="s">
        <v>852</v>
      </c>
      <c r="C232" s="25" t="s">
        <v>853</v>
      </c>
      <c r="D232" s="25" t="s">
        <v>852</v>
      </c>
      <c r="E232" s="25" t="s">
        <v>894</v>
      </c>
      <c r="F232" s="25" t="s">
        <v>895</v>
      </c>
      <c r="G232" s="25" t="s">
        <v>76</v>
      </c>
      <c r="H232" s="25" t="s">
        <v>566</v>
      </c>
      <c r="I232" s="25" t="s">
        <v>859</v>
      </c>
      <c r="J232" s="25" t="s">
        <v>38</v>
      </c>
      <c r="K232" s="25">
        <v>60</v>
      </c>
      <c r="L232" s="25" t="s">
        <v>39</v>
      </c>
      <c r="M232" s="25" t="s">
        <v>58</v>
      </c>
      <c r="N232" s="23" t="s">
        <v>55</v>
      </c>
      <c r="O232" s="23" t="s">
        <v>59</v>
      </c>
      <c r="P232" s="26" t="s">
        <v>60</v>
      </c>
      <c r="Q232" s="26">
        <v>3</v>
      </c>
      <c r="R232" s="26" t="s">
        <v>240</v>
      </c>
      <c r="S232" s="26">
        <v>80</v>
      </c>
      <c r="T232" s="26">
        <v>90</v>
      </c>
      <c r="U232" s="23" t="s">
        <v>58</v>
      </c>
      <c r="V232" s="23" t="s">
        <v>62</v>
      </c>
      <c r="W232" s="23"/>
      <c r="X232" s="23" t="e">
        <f>IF(COUNTIF(#REF!,_xlfn.TEXTJOIN(".",,C232,F232,H232)),"是","否")</f>
        <v>#REF!</v>
      </c>
      <c r="Y232" s="23" t="e">
        <f t="shared" si="82"/>
        <v>#REF!</v>
      </c>
      <c r="Z232" s="23"/>
      <c r="AA232" s="23"/>
      <c r="AB232" s="23"/>
      <c r="AC232" s="23"/>
      <c r="AD232" s="23"/>
      <c r="AE232" s="23"/>
      <c r="AF232" s="23"/>
      <c r="AG232" s="23"/>
      <c r="AH232" s="23"/>
      <c r="AI232" s="23"/>
      <c r="AJ232" s="1" t="str">
        <f t="shared" si="83"/>
        <v>SYS.ROMA.instance_id,reliablemq_instance_id,reliablemq_broker.broker_memory_usage</v>
      </c>
      <c r="AK232" s="1"/>
      <c r="AL232" s="1"/>
    </row>
    <row r="233" spans="1:38" hidden="1" x14ac:dyDescent="0.25">
      <c r="A233" s="24">
        <f t="shared" si="81"/>
        <v>232</v>
      </c>
      <c r="B233" s="25" t="s">
        <v>852</v>
      </c>
      <c r="C233" s="25" t="s">
        <v>853</v>
      </c>
      <c r="D233" s="25" t="s">
        <v>852</v>
      </c>
      <c r="E233" s="25" t="s">
        <v>894</v>
      </c>
      <c r="F233" s="25" t="s">
        <v>895</v>
      </c>
      <c r="G233" s="25" t="s">
        <v>568</v>
      </c>
      <c r="H233" s="25" t="s">
        <v>569</v>
      </c>
      <c r="I233" s="25" t="s">
        <v>856</v>
      </c>
      <c r="J233" s="25" t="s">
        <v>38</v>
      </c>
      <c r="K233" s="25">
        <v>60</v>
      </c>
      <c r="L233" s="25" t="s">
        <v>45</v>
      </c>
      <c r="M233" s="25"/>
      <c r="N233" s="23" t="s">
        <v>55</v>
      </c>
      <c r="O233" s="23" t="s">
        <v>59</v>
      </c>
      <c r="P233" s="26" t="s">
        <v>60</v>
      </c>
      <c r="Q233" s="26">
        <v>1</v>
      </c>
      <c r="R233" s="26" t="s">
        <v>136</v>
      </c>
      <c r="S233" s="26"/>
      <c r="T233" s="26">
        <v>0</v>
      </c>
      <c r="U233" s="22"/>
      <c r="V233" s="23" t="s">
        <v>62</v>
      </c>
      <c r="W233" s="23"/>
      <c r="X233" s="23" t="e">
        <f>IF(COUNTIF(#REF!,_xlfn.TEXTJOIN(".",,C233,F233,H233)),"是","否")</f>
        <v>#REF!</v>
      </c>
      <c r="Y233" s="23" t="e">
        <f t="shared" si="82"/>
        <v>#REF!</v>
      </c>
      <c r="Z233" s="23"/>
      <c r="AA233" s="23"/>
      <c r="AB233" s="23"/>
      <c r="AC233" s="23"/>
      <c r="AD233" s="23"/>
      <c r="AE233" s="23"/>
      <c r="AF233" s="23"/>
      <c r="AG233" s="23"/>
      <c r="AH233" s="23"/>
      <c r="AI233" s="23"/>
      <c r="AJ233" s="1" t="str">
        <f t="shared" si="83"/>
        <v>SYS.ROMA.instance_id,reliablemq_instance_id,reliablemq_broker.broker_alive</v>
      </c>
      <c r="AK233" s="1"/>
      <c r="AL233" s="1"/>
    </row>
    <row r="234" spans="1:38" hidden="1" x14ac:dyDescent="0.25">
      <c r="A234" s="24">
        <f t="shared" si="81"/>
        <v>233</v>
      </c>
      <c r="B234" s="25" t="s">
        <v>852</v>
      </c>
      <c r="C234" s="25" t="s">
        <v>853</v>
      </c>
      <c r="D234" s="25" t="s">
        <v>852</v>
      </c>
      <c r="E234" s="25" t="s">
        <v>894</v>
      </c>
      <c r="F234" s="25" t="s">
        <v>895</v>
      </c>
      <c r="G234" s="25" t="s">
        <v>72</v>
      </c>
      <c r="H234" s="25" t="s">
        <v>575</v>
      </c>
      <c r="I234" s="25" t="s">
        <v>857</v>
      </c>
      <c r="J234" s="25" t="s">
        <v>38</v>
      </c>
      <c r="K234" s="25">
        <v>60</v>
      </c>
      <c r="L234" s="25" t="s">
        <v>39</v>
      </c>
      <c r="M234" s="25" t="s">
        <v>58</v>
      </c>
      <c r="N234" s="23" t="s">
        <v>55</v>
      </c>
      <c r="O234" s="23" t="s">
        <v>59</v>
      </c>
      <c r="P234" s="26" t="s">
        <v>60</v>
      </c>
      <c r="Q234" s="26">
        <v>3</v>
      </c>
      <c r="R234" s="26" t="s">
        <v>240</v>
      </c>
      <c r="S234" s="26">
        <v>80</v>
      </c>
      <c r="T234" s="26">
        <v>90</v>
      </c>
      <c r="U234" s="23" t="s">
        <v>58</v>
      </c>
      <c r="V234" s="23" t="s">
        <v>62</v>
      </c>
      <c r="W234" s="23"/>
      <c r="X234" s="23" t="e">
        <f>IF(COUNTIF(#REF!,_xlfn.TEXTJOIN(".",,C234,F234,H234)),"是","否")</f>
        <v>#REF!</v>
      </c>
      <c r="Y234" s="23" t="e">
        <f t="shared" si="82"/>
        <v>#REF!</v>
      </c>
      <c r="Z234" s="23"/>
      <c r="AA234" s="23"/>
      <c r="AB234" s="23"/>
      <c r="AC234" s="23"/>
      <c r="AD234" s="23"/>
      <c r="AE234" s="23"/>
      <c r="AF234" s="23"/>
      <c r="AG234" s="23"/>
      <c r="AH234" s="23"/>
      <c r="AI234" s="23"/>
      <c r="AJ234" s="1" t="str">
        <f t="shared" si="83"/>
        <v>SYS.ROMA.instance_id,reliablemq_instance_id,reliablemq_broker.broker_cpu_usage</v>
      </c>
      <c r="AK234" s="1"/>
      <c r="AL234" s="1"/>
    </row>
    <row r="235" spans="1:38" hidden="1" x14ac:dyDescent="0.25">
      <c r="A235" s="24">
        <f t="shared" si="81"/>
        <v>234</v>
      </c>
      <c r="B235" s="25" t="s">
        <v>852</v>
      </c>
      <c r="C235" s="25" t="s">
        <v>853</v>
      </c>
      <c r="D235" s="25" t="s">
        <v>852</v>
      </c>
      <c r="E235" s="25" t="s">
        <v>894</v>
      </c>
      <c r="F235" s="25" t="s">
        <v>895</v>
      </c>
      <c r="G235" s="25" t="s">
        <v>578</v>
      </c>
      <c r="H235" s="25" t="s">
        <v>579</v>
      </c>
      <c r="I235" s="25" t="s">
        <v>580</v>
      </c>
      <c r="J235" s="25" t="s">
        <v>38</v>
      </c>
      <c r="K235" s="25">
        <v>60</v>
      </c>
      <c r="L235" s="25" t="s">
        <v>39</v>
      </c>
      <c r="M235" s="25" t="s">
        <v>44</v>
      </c>
      <c r="N235" s="23" t="s">
        <v>55</v>
      </c>
      <c r="O235" s="23" t="s">
        <v>59</v>
      </c>
      <c r="P235" s="26" t="s">
        <v>60</v>
      </c>
      <c r="Q235" s="26">
        <v>3</v>
      </c>
      <c r="R235" s="26" t="s">
        <v>240</v>
      </c>
      <c r="S235" s="26"/>
      <c r="T235" s="26">
        <v>5000</v>
      </c>
      <c r="U235" s="22" t="s">
        <v>44</v>
      </c>
      <c r="V235" s="23" t="s">
        <v>62</v>
      </c>
      <c r="W235" s="23"/>
      <c r="X235" s="23" t="e">
        <f>IF(COUNTIF(#REF!,_xlfn.TEXTJOIN(".",,C235,F235,H235)),"是","否")</f>
        <v>#REF!</v>
      </c>
      <c r="Y235" s="23" t="e">
        <f t="shared" si="82"/>
        <v>#REF!</v>
      </c>
      <c r="Z235" s="23"/>
      <c r="AA235" s="23"/>
      <c r="AB235" s="23"/>
      <c r="AC235" s="23"/>
      <c r="AD235" s="23"/>
      <c r="AE235" s="23"/>
      <c r="AF235" s="23"/>
      <c r="AG235" s="23"/>
      <c r="AH235" s="23"/>
      <c r="AI235" s="23"/>
      <c r="AJ235" s="1" t="str">
        <f t="shared" si="83"/>
        <v>SYS.ROMA.instance_id,reliablemq_instance_id,reliablemq_broker.broker_disk_read_await</v>
      </c>
      <c r="AK235" s="1"/>
      <c r="AL235" s="1"/>
    </row>
    <row r="236" spans="1:38" hidden="1" x14ac:dyDescent="0.25">
      <c r="A236" s="24">
        <f t="shared" si="81"/>
        <v>235</v>
      </c>
      <c r="B236" s="25" t="s">
        <v>852</v>
      </c>
      <c r="C236" s="25" t="s">
        <v>853</v>
      </c>
      <c r="D236" s="25" t="s">
        <v>852</v>
      </c>
      <c r="E236" s="25" t="s">
        <v>894</v>
      </c>
      <c r="F236" s="25" t="s">
        <v>895</v>
      </c>
      <c r="G236" s="25" t="s">
        <v>581</v>
      </c>
      <c r="H236" s="25" t="s">
        <v>582</v>
      </c>
      <c r="I236" s="25" t="s">
        <v>583</v>
      </c>
      <c r="J236" s="25" t="s">
        <v>38</v>
      </c>
      <c r="K236" s="25">
        <v>60</v>
      </c>
      <c r="L236" s="25" t="s">
        <v>39</v>
      </c>
      <c r="M236" s="25" t="s">
        <v>44</v>
      </c>
      <c r="N236" s="23" t="s">
        <v>55</v>
      </c>
      <c r="O236" s="23" t="s">
        <v>59</v>
      </c>
      <c r="P236" s="26" t="s">
        <v>60</v>
      </c>
      <c r="Q236" s="26">
        <v>3</v>
      </c>
      <c r="R236" s="26" t="s">
        <v>240</v>
      </c>
      <c r="S236" s="26"/>
      <c r="T236" s="26">
        <v>5000</v>
      </c>
      <c r="U236" s="22" t="s">
        <v>44</v>
      </c>
      <c r="V236" s="23" t="s">
        <v>62</v>
      </c>
      <c r="W236" s="23"/>
      <c r="X236" s="23" t="e">
        <f>IF(COUNTIF(#REF!,_xlfn.TEXTJOIN(".",,C236,F236,H236)),"是","否")</f>
        <v>#REF!</v>
      </c>
      <c r="Y236" s="23" t="e">
        <f t="shared" si="82"/>
        <v>#REF!</v>
      </c>
      <c r="Z236" s="23"/>
      <c r="AA236" s="23"/>
      <c r="AB236" s="23"/>
      <c r="AC236" s="23"/>
      <c r="AD236" s="23"/>
      <c r="AE236" s="23"/>
      <c r="AF236" s="23"/>
      <c r="AG236" s="23"/>
      <c r="AH236" s="23"/>
      <c r="AI236" s="23"/>
      <c r="AJ236" s="1" t="str">
        <f t="shared" si="83"/>
        <v>SYS.ROMA.instance_id,reliablemq_instance_id,reliablemq_broker.broker_disk_write_await</v>
      </c>
      <c r="AK236" s="1"/>
      <c r="AL236" s="1"/>
    </row>
    <row r="237" spans="1:38" hidden="1" x14ac:dyDescent="0.25">
      <c r="A237" s="24">
        <f t="shared" si="81"/>
        <v>236</v>
      </c>
      <c r="B237" s="25" t="s">
        <v>852</v>
      </c>
      <c r="C237" s="25" t="s">
        <v>853</v>
      </c>
      <c r="D237" s="25" t="s">
        <v>852</v>
      </c>
      <c r="E237" s="25" t="s">
        <v>894</v>
      </c>
      <c r="F237" s="25" t="s">
        <v>895</v>
      </c>
      <c r="G237" s="25" t="s">
        <v>588</v>
      </c>
      <c r="H237" s="25" t="s">
        <v>589</v>
      </c>
      <c r="I237" s="25" t="s">
        <v>590</v>
      </c>
      <c r="J237" s="25" t="s">
        <v>38</v>
      </c>
      <c r="K237" s="25">
        <v>60</v>
      </c>
      <c r="L237" s="25" t="s">
        <v>176</v>
      </c>
      <c r="M237" s="25" t="s">
        <v>44</v>
      </c>
      <c r="N237" s="23" t="s">
        <v>55</v>
      </c>
      <c r="O237" s="23" t="s">
        <v>59</v>
      </c>
      <c r="P237" s="26" t="s">
        <v>60</v>
      </c>
      <c r="Q237" s="26">
        <v>3</v>
      </c>
      <c r="R237" s="26" t="s">
        <v>61</v>
      </c>
      <c r="S237" s="26">
        <v>50</v>
      </c>
      <c r="T237" s="23"/>
      <c r="U237" s="22" t="s">
        <v>44</v>
      </c>
      <c r="V237" s="23" t="s">
        <v>62</v>
      </c>
      <c r="W237" s="23"/>
      <c r="X237" s="23" t="e">
        <f>IF(COUNTIF(#REF!,_xlfn.TEXTJOIN(".",,C237,F237,H237)),"是","否")</f>
        <v>#REF!</v>
      </c>
      <c r="Y237" s="23" t="e">
        <f t="shared" si="82"/>
        <v>#REF!</v>
      </c>
      <c r="Z237" s="23"/>
      <c r="AA237" s="23"/>
      <c r="AB237" s="23"/>
      <c r="AC237" s="23"/>
      <c r="AD237" s="23"/>
      <c r="AE237" s="23"/>
      <c r="AF237" s="23"/>
      <c r="AG237" s="23"/>
      <c r="AH237" s="23"/>
      <c r="AI237" s="23"/>
      <c r="AJ237" s="1" t="str">
        <f t="shared" si="83"/>
        <v>SYS.ROMA.instance_id,reliablemq_instance_id,reliablemq_broker.broker_produce_p999</v>
      </c>
      <c r="AK237" s="1"/>
      <c r="AL237" s="1"/>
    </row>
    <row r="238" spans="1:38" hidden="1" x14ac:dyDescent="0.25">
      <c r="A238" s="24">
        <f t="shared" si="81"/>
        <v>237</v>
      </c>
      <c r="B238" s="25" t="s">
        <v>852</v>
      </c>
      <c r="C238" s="25" t="s">
        <v>853</v>
      </c>
      <c r="D238" s="25" t="s">
        <v>852</v>
      </c>
      <c r="E238" s="25" t="s">
        <v>894</v>
      </c>
      <c r="F238" s="25" t="s">
        <v>895</v>
      </c>
      <c r="G238" s="25" t="s">
        <v>592</v>
      </c>
      <c r="H238" s="25" t="s">
        <v>593</v>
      </c>
      <c r="I238" s="25" t="s">
        <v>594</v>
      </c>
      <c r="J238" s="25" t="s">
        <v>38</v>
      </c>
      <c r="K238" s="25">
        <v>60</v>
      </c>
      <c r="L238" s="25" t="s">
        <v>176</v>
      </c>
      <c r="M238" s="25" t="s">
        <v>58</v>
      </c>
      <c r="N238" s="23" t="s">
        <v>55</v>
      </c>
      <c r="O238" s="23" t="s">
        <v>59</v>
      </c>
      <c r="P238" s="26" t="s">
        <v>60</v>
      </c>
      <c r="Q238" s="26">
        <v>1</v>
      </c>
      <c r="R238" s="26" t="s">
        <v>366</v>
      </c>
      <c r="S238" s="26"/>
      <c r="T238" s="26">
        <v>90</v>
      </c>
      <c r="U238" s="23" t="s">
        <v>58</v>
      </c>
      <c r="V238" s="23" t="s">
        <v>62</v>
      </c>
      <c r="W238" s="23"/>
      <c r="X238" s="23" t="e">
        <f>IF(COUNTIF(#REF!,_xlfn.TEXTJOIN(".",,C238,F238,H238)),"是","否")</f>
        <v>#REF!</v>
      </c>
      <c r="Y238" s="23" t="e">
        <f t="shared" si="82"/>
        <v>#REF!</v>
      </c>
      <c r="Z238" s="23"/>
      <c r="AA238" s="23"/>
      <c r="AB238" s="23"/>
      <c r="AC238" s="23"/>
      <c r="AD238" s="23"/>
      <c r="AE238" s="23"/>
      <c r="AF238" s="23"/>
      <c r="AG238" s="23"/>
      <c r="AH238" s="23"/>
      <c r="AI238" s="23"/>
      <c r="AJ238" s="1" t="str">
        <f t="shared" si="83"/>
        <v>SYS.ROMA.instance_id,reliablemq_instance_id,reliablemq_broker.broker_produce_success_rate</v>
      </c>
      <c r="AK238" s="1"/>
      <c r="AL238" s="1"/>
    </row>
    <row r="239" spans="1:38" hidden="1" x14ac:dyDescent="0.25">
      <c r="A239" s="24">
        <f t="shared" ref="A239:A245" si="84">ROW()-1</f>
        <v>238</v>
      </c>
      <c r="B239" s="25" t="s">
        <v>852</v>
      </c>
      <c r="C239" s="25" t="s">
        <v>853</v>
      </c>
      <c r="D239" s="25" t="s">
        <v>852</v>
      </c>
      <c r="E239" s="25" t="s">
        <v>897</v>
      </c>
      <c r="F239" s="25" t="s">
        <v>898</v>
      </c>
      <c r="G239" s="25" t="s">
        <v>899</v>
      </c>
      <c r="H239" s="25" t="s">
        <v>900</v>
      </c>
      <c r="I239" s="25" t="s">
        <v>901</v>
      </c>
      <c r="J239" s="25" t="s">
        <v>38</v>
      </c>
      <c r="K239" s="25">
        <v>60</v>
      </c>
      <c r="L239" s="25"/>
      <c r="M239" s="25" t="s">
        <v>141</v>
      </c>
      <c r="N239" s="23" t="s">
        <v>55</v>
      </c>
      <c r="O239" s="23" t="s">
        <v>59</v>
      </c>
      <c r="P239" s="26" t="s">
        <v>60</v>
      </c>
      <c r="Q239" s="26">
        <v>1</v>
      </c>
      <c r="R239" s="26" t="s">
        <v>334</v>
      </c>
      <c r="S239" s="26">
        <v>20</v>
      </c>
      <c r="T239" s="26">
        <v>30</v>
      </c>
      <c r="U239" s="23" t="s">
        <v>58</v>
      </c>
      <c r="V239" s="23" t="s">
        <v>62</v>
      </c>
      <c r="W239" s="23"/>
      <c r="X239" s="23" t="e">
        <f>IF(COUNTIF(#REF!,_xlfn.TEXTJOIN(".",,C239,F239,H239)),"是","否")</f>
        <v>#REF!</v>
      </c>
      <c r="Y239" s="23" t="e">
        <f t="shared" ref="Y239:Y245" si="85">IF(AND(O239="底线指标",X239="是"),"是","否")</f>
        <v>#REF!</v>
      </c>
      <c r="Z239" s="23"/>
      <c r="AA239" s="23"/>
      <c r="AB239" s="23"/>
      <c r="AC239" s="23"/>
      <c r="AD239" s="23"/>
      <c r="AE239" s="23"/>
      <c r="AF239" s="23"/>
      <c r="AG239" s="23"/>
      <c r="AH239" s="23"/>
      <c r="AI239" s="23"/>
      <c r="AJ239" s="1" t="str">
        <f t="shared" ref="AJ239:AJ245" si="86">_xlfn.TEXTJOIN(".",TRUE,C239,F239,H239)</f>
        <v>SYS.ROMA.instance_id,apic.data_api_errors</v>
      </c>
      <c r="AK239" s="1"/>
      <c r="AL239" s="1"/>
    </row>
    <row r="240" spans="1:38" hidden="1" x14ac:dyDescent="0.25">
      <c r="A240" s="24">
        <f t="shared" si="84"/>
        <v>239</v>
      </c>
      <c r="B240" s="25" t="s">
        <v>852</v>
      </c>
      <c r="C240" s="25" t="s">
        <v>853</v>
      </c>
      <c r="D240" s="25" t="s">
        <v>852</v>
      </c>
      <c r="E240" s="25" t="s">
        <v>897</v>
      </c>
      <c r="F240" s="25" t="s">
        <v>898</v>
      </c>
      <c r="G240" s="25" t="s">
        <v>902</v>
      </c>
      <c r="H240" s="25" t="s">
        <v>903</v>
      </c>
      <c r="I240" s="25" t="s">
        <v>904</v>
      </c>
      <c r="J240" s="25" t="s">
        <v>38</v>
      </c>
      <c r="K240" s="25">
        <v>60</v>
      </c>
      <c r="L240" s="25"/>
      <c r="M240" s="25" t="s">
        <v>141</v>
      </c>
      <c r="N240" s="23" t="s">
        <v>55</v>
      </c>
      <c r="O240" s="23" t="s">
        <v>59</v>
      </c>
      <c r="P240" s="26" t="s">
        <v>60</v>
      </c>
      <c r="Q240" s="26">
        <v>1</v>
      </c>
      <c r="R240" s="26" t="s">
        <v>334</v>
      </c>
      <c r="S240" s="26">
        <v>20</v>
      </c>
      <c r="T240" s="26">
        <v>30</v>
      </c>
      <c r="U240" s="23" t="s">
        <v>58</v>
      </c>
      <c r="V240" s="23" t="s">
        <v>62</v>
      </c>
      <c r="W240" s="23"/>
      <c r="X240" s="23" t="e">
        <f>IF(COUNTIF(#REF!,_xlfn.TEXTJOIN(".",,C240,F240,H240)),"是","否")</f>
        <v>#REF!</v>
      </c>
      <c r="Y240" s="23" t="e">
        <f t="shared" si="85"/>
        <v>#REF!</v>
      </c>
      <c r="Z240" s="23"/>
      <c r="AA240" s="23"/>
      <c r="AB240" s="23"/>
      <c r="AC240" s="23"/>
      <c r="AD240" s="23"/>
      <c r="AE240" s="23"/>
      <c r="AF240" s="23"/>
      <c r="AG240" s="23"/>
      <c r="AH240" s="23"/>
      <c r="AI240" s="23"/>
      <c r="AJ240" s="1" t="str">
        <f t="shared" si="86"/>
        <v>SYS.ROMA.instance_id,apic.func_api_errors</v>
      </c>
      <c r="AK240" s="1"/>
      <c r="AL240" s="1"/>
    </row>
    <row r="241" spans="1:38" hidden="1" x14ac:dyDescent="0.25">
      <c r="A241" s="24">
        <f t="shared" si="84"/>
        <v>240</v>
      </c>
      <c r="B241" s="25" t="s">
        <v>852</v>
      </c>
      <c r="C241" s="25" t="s">
        <v>853</v>
      </c>
      <c r="D241" s="25" t="s">
        <v>852</v>
      </c>
      <c r="E241" s="25" t="s">
        <v>897</v>
      </c>
      <c r="F241" s="25" t="s">
        <v>898</v>
      </c>
      <c r="G241" s="25" t="s">
        <v>783</v>
      </c>
      <c r="H241" s="25" t="s">
        <v>47</v>
      </c>
      <c r="I241" s="25" t="s">
        <v>905</v>
      </c>
      <c r="J241" s="25" t="s">
        <v>38</v>
      </c>
      <c r="K241" s="25">
        <v>60</v>
      </c>
      <c r="L241" s="25"/>
      <c r="M241" s="25" t="s">
        <v>141</v>
      </c>
      <c r="N241" s="23" t="s">
        <v>55</v>
      </c>
      <c r="O241" s="23" t="s">
        <v>59</v>
      </c>
      <c r="P241" s="26" t="s">
        <v>60</v>
      </c>
      <c r="Q241" s="26">
        <v>1</v>
      </c>
      <c r="R241" s="26" t="s">
        <v>334</v>
      </c>
      <c r="S241" s="26">
        <v>20</v>
      </c>
      <c r="T241" s="26">
        <v>30</v>
      </c>
      <c r="U241" s="23" t="s">
        <v>58</v>
      </c>
      <c r="V241" s="23" t="s">
        <v>62</v>
      </c>
      <c r="W241" s="23"/>
      <c r="X241" s="23" t="e">
        <f>IF(COUNTIF(#REF!,_xlfn.TEXTJOIN(".",,C241,F241,H241)),"是","否")</f>
        <v>#REF!</v>
      </c>
      <c r="Y241" s="23" t="e">
        <f t="shared" si="85"/>
        <v>#REF!</v>
      </c>
      <c r="Z241" s="23"/>
      <c r="AA241" s="23"/>
      <c r="AB241" s="23"/>
      <c r="AC241" s="23"/>
      <c r="AD241" s="23"/>
      <c r="AE241" s="23"/>
      <c r="AF241" s="23"/>
      <c r="AG241" s="23"/>
      <c r="AH241" s="23"/>
      <c r="AI241" s="23"/>
      <c r="AJ241" s="1" t="str">
        <f t="shared" si="86"/>
        <v>SYS.ROMA.instance_id,apic.error_4xx</v>
      </c>
      <c r="AK241" s="1"/>
      <c r="AL241" s="1"/>
    </row>
    <row r="242" spans="1:38" hidden="1" x14ac:dyDescent="0.25">
      <c r="A242" s="24">
        <f t="shared" si="84"/>
        <v>241</v>
      </c>
      <c r="B242" s="25" t="s">
        <v>852</v>
      </c>
      <c r="C242" s="25" t="s">
        <v>853</v>
      </c>
      <c r="D242" s="25" t="s">
        <v>852</v>
      </c>
      <c r="E242" s="25" t="s">
        <v>897</v>
      </c>
      <c r="F242" s="25" t="s">
        <v>898</v>
      </c>
      <c r="G242" s="25" t="s">
        <v>784</v>
      </c>
      <c r="H242" s="25" t="s">
        <v>49</v>
      </c>
      <c r="I242" s="22" t="s">
        <v>906</v>
      </c>
      <c r="J242" s="22" t="s">
        <v>38</v>
      </c>
      <c r="K242" s="22">
        <v>60</v>
      </c>
      <c r="L242" s="22"/>
      <c r="M242" s="22" t="s">
        <v>141</v>
      </c>
      <c r="N242" s="23" t="s">
        <v>55</v>
      </c>
      <c r="O242" s="23" t="s">
        <v>59</v>
      </c>
      <c r="P242" s="23" t="s">
        <v>60</v>
      </c>
      <c r="Q242" s="23">
        <v>3</v>
      </c>
      <c r="R242" s="23" t="s">
        <v>61</v>
      </c>
      <c r="S242" s="23">
        <v>1</v>
      </c>
      <c r="T242" s="23"/>
      <c r="U242" s="3" t="s">
        <v>907</v>
      </c>
      <c r="V242" s="23" t="s">
        <v>62</v>
      </c>
      <c r="W242" s="23"/>
      <c r="X242" s="23" t="e">
        <f>IF(COUNTIF(#REF!,_xlfn.TEXTJOIN(".",,C242,F242,H242)),"是","否")</f>
        <v>#REF!</v>
      </c>
      <c r="Y242" s="23" t="e">
        <f t="shared" si="85"/>
        <v>#REF!</v>
      </c>
      <c r="Z242" s="23"/>
      <c r="AA242" s="23"/>
      <c r="AB242" s="23"/>
      <c r="AC242" s="23"/>
      <c r="AD242" s="23"/>
      <c r="AE242" s="23"/>
      <c r="AF242" s="23"/>
      <c r="AG242" s="23"/>
      <c r="AH242" s="23"/>
      <c r="AI242" s="23"/>
      <c r="AJ242" s="1" t="str">
        <f t="shared" si="86"/>
        <v>SYS.ROMA.instance_id,apic.error_5xx</v>
      </c>
      <c r="AK242" s="1"/>
      <c r="AL242" s="1"/>
    </row>
    <row r="243" spans="1:38" hidden="1" x14ac:dyDescent="0.25">
      <c r="A243" s="24">
        <f t="shared" si="84"/>
        <v>242</v>
      </c>
      <c r="B243" s="25" t="s">
        <v>852</v>
      </c>
      <c r="C243" s="25" t="s">
        <v>853</v>
      </c>
      <c r="D243" s="25" t="s">
        <v>852</v>
      </c>
      <c r="E243" s="25" t="s">
        <v>897</v>
      </c>
      <c r="F243" s="25" t="s">
        <v>898</v>
      </c>
      <c r="G243" s="25" t="s">
        <v>786</v>
      </c>
      <c r="H243" s="25" t="s">
        <v>787</v>
      </c>
      <c r="I243" s="25" t="s">
        <v>908</v>
      </c>
      <c r="J243" s="25" t="s">
        <v>38</v>
      </c>
      <c r="K243" s="25">
        <v>60</v>
      </c>
      <c r="L243" s="25"/>
      <c r="M243" s="25" t="s">
        <v>141</v>
      </c>
      <c r="N243" s="23" t="s">
        <v>55</v>
      </c>
      <c r="O243" s="23" t="s">
        <v>59</v>
      </c>
      <c r="P243" s="26" t="s">
        <v>60</v>
      </c>
      <c r="Q243" s="26">
        <v>3</v>
      </c>
      <c r="R243" s="26" t="s">
        <v>240</v>
      </c>
      <c r="S243" s="26">
        <v>10</v>
      </c>
      <c r="T243" s="26">
        <v>100</v>
      </c>
      <c r="U243" s="22" t="s">
        <v>141</v>
      </c>
      <c r="V243" s="23" t="s">
        <v>62</v>
      </c>
      <c r="W243" s="23"/>
      <c r="X243" s="23" t="e">
        <f>IF(COUNTIF(#REF!,_xlfn.TEXTJOIN(".",,C243,F243,H243)),"是","否")</f>
        <v>#REF!</v>
      </c>
      <c r="Y243" s="23" t="e">
        <f t="shared" si="85"/>
        <v>#REF!</v>
      </c>
      <c r="Z243" s="23"/>
      <c r="AA243" s="23"/>
      <c r="AB243" s="23"/>
      <c r="AC243" s="23"/>
      <c r="AD243" s="23"/>
      <c r="AE243" s="23"/>
      <c r="AF243" s="23"/>
      <c r="AG243" s="23"/>
      <c r="AH243" s="23"/>
      <c r="AI243" s="23"/>
      <c r="AJ243" s="1" t="str">
        <f t="shared" si="86"/>
        <v>SYS.ROMA.instance_id,apic.throttled_calls</v>
      </c>
      <c r="AK243" s="1"/>
      <c r="AL243" s="1"/>
    </row>
    <row r="244" spans="1:38" hidden="1" x14ac:dyDescent="0.25">
      <c r="A244" s="24">
        <f t="shared" si="84"/>
        <v>243</v>
      </c>
      <c r="B244" s="25" t="s">
        <v>852</v>
      </c>
      <c r="C244" s="25" t="s">
        <v>853</v>
      </c>
      <c r="D244" s="25" t="s">
        <v>852</v>
      </c>
      <c r="E244" s="25" t="s">
        <v>909</v>
      </c>
      <c r="F244" s="25" t="s">
        <v>910</v>
      </c>
      <c r="G244" s="25" t="s">
        <v>911</v>
      </c>
      <c r="H244" s="25" t="s">
        <v>912</v>
      </c>
      <c r="I244" s="25" t="s">
        <v>913</v>
      </c>
      <c r="J244" s="25" t="s">
        <v>38</v>
      </c>
      <c r="K244" s="25">
        <v>300</v>
      </c>
      <c r="L244" s="25" t="s">
        <v>45</v>
      </c>
      <c r="M244" s="25" t="s">
        <v>46</v>
      </c>
      <c r="N244" s="23" t="s">
        <v>55</v>
      </c>
      <c r="O244" s="23" t="s">
        <v>59</v>
      </c>
      <c r="P244" s="26" t="s">
        <v>60</v>
      </c>
      <c r="Q244" s="26">
        <v>1</v>
      </c>
      <c r="R244" s="26" t="s">
        <v>240</v>
      </c>
      <c r="S244" s="26"/>
      <c r="T244" s="26">
        <v>1</v>
      </c>
      <c r="U244" s="22" t="s">
        <v>46</v>
      </c>
      <c r="V244" s="23" t="s">
        <v>62</v>
      </c>
      <c r="W244" s="23"/>
      <c r="X244" s="23" t="e">
        <f>IF(COUNTIF(#REF!,_xlfn.TEXTJOIN(".",,C244,F244,H244)),"是","否")</f>
        <v>#REF!</v>
      </c>
      <c r="Y244" s="23" t="e">
        <f t="shared" si="85"/>
        <v>#REF!</v>
      </c>
      <c r="Z244" s="23"/>
      <c r="AA244" s="23"/>
      <c r="AB244" s="23"/>
      <c r="AC244" s="23"/>
      <c r="AD244" s="23"/>
      <c r="AE244" s="23"/>
      <c r="AF244" s="23"/>
      <c r="AG244" s="23"/>
      <c r="AH244" s="23"/>
      <c r="AI244" s="23"/>
      <c r="AJ244" s="1" t="str">
        <f t="shared" si="86"/>
        <v>SYS.ROMA.instance_id,fdi,task_id.task_fail_count</v>
      </c>
      <c r="AK244" s="1"/>
      <c r="AL244" s="1"/>
    </row>
    <row r="245" spans="1:38" hidden="1" x14ac:dyDescent="0.25">
      <c r="A245" s="24">
        <f t="shared" si="84"/>
        <v>244</v>
      </c>
      <c r="B245" s="25" t="s">
        <v>914</v>
      </c>
      <c r="C245" s="25" t="s">
        <v>915</v>
      </c>
      <c r="D245" s="25" t="s">
        <v>916</v>
      </c>
      <c r="E245" s="25" t="s">
        <v>917</v>
      </c>
      <c r="F245" s="25" t="s">
        <v>918</v>
      </c>
      <c r="G245" s="25" t="s">
        <v>919</v>
      </c>
      <c r="H245" s="25" t="s">
        <v>920</v>
      </c>
      <c r="I245" s="22" t="s">
        <v>921</v>
      </c>
      <c r="J245" s="22" t="s">
        <v>38</v>
      </c>
      <c r="K245" s="22">
        <v>60</v>
      </c>
      <c r="L245" s="22" t="s">
        <v>45</v>
      </c>
      <c r="M245" s="22" t="s">
        <v>44</v>
      </c>
      <c r="N245" s="23" t="s">
        <v>55</v>
      </c>
      <c r="O245" s="23" t="s">
        <v>59</v>
      </c>
      <c r="P245" s="23" t="s">
        <v>60</v>
      </c>
      <c r="Q245" s="23">
        <v>3</v>
      </c>
      <c r="R245" s="23" t="s">
        <v>240</v>
      </c>
      <c r="S245" s="23"/>
      <c r="T245" s="23">
        <v>86400000</v>
      </c>
      <c r="U245" s="22" t="s">
        <v>44</v>
      </c>
      <c r="V245" s="23" t="s">
        <v>62</v>
      </c>
      <c r="W245" s="23"/>
      <c r="X245" s="23" t="e">
        <f>IF(COUNTIF(#REF!,_xlfn.TEXTJOIN(".",,C245,F245,H245)),"是","否")</f>
        <v>#REF!</v>
      </c>
      <c r="Y245" s="23" t="e">
        <f t="shared" si="85"/>
        <v>#REF!</v>
      </c>
      <c r="Z245" s="23"/>
      <c r="AA245" s="23"/>
      <c r="AB245" s="23"/>
      <c r="AC245" s="23"/>
      <c r="AD245" s="23"/>
      <c r="AE245" s="23"/>
      <c r="AF245" s="23"/>
      <c r="AG245" s="23"/>
      <c r="AH245" s="23"/>
      <c r="AI245" s="23"/>
      <c r="AJ245" s="1" t="str">
        <f t="shared" si="86"/>
        <v>SYS.DATAARTS_MIGRATION.dm_di_job_id.extract_latency</v>
      </c>
      <c r="AK245" s="1"/>
      <c r="AL245" s="1"/>
    </row>
    <row r="246" spans="1:38" hidden="1" x14ac:dyDescent="0.25">
      <c r="A246" s="24">
        <f t="shared" ref="A246:A251" si="87">ROW()-1</f>
        <v>245</v>
      </c>
      <c r="B246" s="25" t="s">
        <v>914</v>
      </c>
      <c r="C246" s="25" t="s">
        <v>915</v>
      </c>
      <c r="D246" s="25" t="s">
        <v>916</v>
      </c>
      <c r="E246" s="25" t="s">
        <v>917</v>
      </c>
      <c r="F246" s="25" t="s">
        <v>918</v>
      </c>
      <c r="G246" s="25" t="s">
        <v>928</v>
      </c>
      <c r="H246" s="25" t="s">
        <v>929</v>
      </c>
      <c r="I246" s="25" t="s">
        <v>930</v>
      </c>
      <c r="J246" s="25" t="s">
        <v>38</v>
      </c>
      <c r="K246" s="25">
        <v>60</v>
      </c>
      <c r="L246" s="25" t="s">
        <v>45</v>
      </c>
      <c r="M246" s="25" t="s">
        <v>931</v>
      </c>
      <c r="N246" s="23" t="s">
        <v>55</v>
      </c>
      <c r="O246" s="23" t="s">
        <v>59</v>
      </c>
      <c r="P246" s="26" t="s">
        <v>60</v>
      </c>
      <c r="Q246" s="26">
        <v>5</v>
      </c>
      <c r="R246" s="26" t="s">
        <v>335</v>
      </c>
      <c r="S246" s="26">
        <v>5</v>
      </c>
      <c r="T246" s="26">
        <v>0</v>
      </c>
      <c r="U246" s="22" t="s">
        <v>931</v>
      </c>
      <c r="V246" s="23" t="s">
        <v>62</v>
      </c>
      <c r="W246" s="23"/>
      <c r="X246" s="23" t="e">
        <f>IF(COUNTIF(#REF!,_xlfn.TEXTJOIN(".",,C246,F246,H246)),"是","否")</f>
        <v>#REF!</v>
      </c>
      <c r="Y246" s="23" t="e">
        <f t="shared" ref="Y246:Y251" si="88">IF(AND(O246="底线指标",X246="是"),"是","否")</f>
        <v>#REF!</v>
      </c>
      <c r="Z246" s="23"/>
      <c r="AA246" s="23"/>
      <c r="AB246" s="23"/>
      <c r="AC246" s="23"/>
      <c r="AD246" s="23"/>
      <c r="AE246" s="23"/>
      <c r="AF246" s="23"/>
      <c r="AG246" s="23"/>
      <c r="AH246" s="23"/>
      <c r="AI246" s="23"/>
      <c r="AJ246" s="1" t="str">
        <f t="shared" ref="AJ246:AJ251" si="89">_xlfn.TEXTJOIN(".",TRUE,C246,F246,H246)</f>
        <v>SYS.DATAARTS_MIGRATION.dm_di_job_id.flink_read_records_per_second</v>
      </c>
      <c r="AK246" s="1"/>
      <c r="AL246" s="1"/>
    </row>
    <row r="247" spans="1:38" hidden="1" x14ac:dyDescent="0.25">
      <c r="A247" s="24">
        <f t="shared" si="87"/>
        <v>246</v>
      </c>
      <c r="B247" s="25" t="s">
        <v>914</v>
      </c>
      <c r="C247" s="25" t="s">
        <v>915</v>
      </c>
      <c r="D247" s="25" t="s">
        <v>916</v>
      </c>
      <c r="E247" s="25" t="s">
        <v>917</v>
      </c>
      <c r="F247" s="25" t="s">
        <v>918</v>
      </c>
      <c r="G247" s="25" t="s">
        <v>932</v>
      </c>
      <c r="H247" s="25" t="s">
        <v>933</v>
      </c>
      <c r="I247" s="25" t="s">
        <v>934</v>
      </c>
      <c r="J247" s="25" t="s">
        <v>38</v>
      </c>
      <c r="K247" s="25">
        <v>60</v>
      </c>
      <c r="L247" s="25" t="s">
        <v>45</v>
      </c>
      <c r="M247" s="25" t="s">
        <v>931</v>
      </c>
      <c r="N247" s="23" t="s">
        <v>55</v>
      </c>
      <c r="O247" s="23" t="s">
        <v>59</v>
      </c>
      <c r="P247" s="26" t="s">
        <v>60</v>
      </c>
      <c r="Q247" s="26">
        <v>5</v>
      </c>
      <c r="R247" s="26" t="s">
        <v>335</v>
      </c>
      <c r="S247" s="26">
        <v>5</v>
      </c>
      <c r="T247" s="26">
        <v>0</v>
      </c>
      <c r="U247" s="22" t="s">
        <v>931</v>
      </c>
      <c r="V247" s="23" t="s">
        <v>62</v>
      </c>
      <c r="W247" s="23"/>
      <c r="X247" s="23" t="e">
        <f>IF(COUNTIF(#REF!,_xlfn.TEXTJOIN(".",,C247,F247,H247)),"是","否")</f>
        <v>#REF!</v>
      </c>
      <c r="Y247" s="23" t="e">
        <f t="shared" si="88"/>
        <v>#REF!</v>
      </c>
      <c r="Z247" s="23"/>
      <c r="AA247" s="23"/>
      <c r="AB247" s="23"/>
      <c r="AC247" s="23"/>
      <c r="AD247" s="23"/>
      <c r="AE247" s="23"/>
      <c r="AF247" s="23"/>
      <c r="AG247" s="23"/>
      <c r="AH247" s="23"/>
      <c r="AI247" s="23"/>
      <c r="AJ247" s="1" t="str">
        <f t="shared" si="89"/>
        <v>SYS.DATAARTS_MIGRATION.dm_di_job_id.flink_write_records_per_second</v>
      </c>
      <c r="AK247" s="1"/>
      <c r="AL247" s="1"/>
    </row>
    <row r="248" spans="1:38" hidden="1" x14ac:dyDescent="0.25">
      <c r="A248" s="24">
        <f t="shared" si="87"/>
        <v>247</v>
      </c>
      <c r="B248" s="25" t="s">
        <v>914</v>
      </c>
      <c r="C248" s="25" t="s">
        <v>915</v>
      </c>
      <c r="D248" s="25" t="s">
        <v>916</v>
      </c>
      <c r="E248" s="25" t="s">
        <v>917</v>
      </c>
      <c r="F248" s="25" t="s">
        <v>918</v>
      </c>
      <c r="G248" s="25" t="s">
        <v>935</v>
      </c>
      <c r="H248" s="25" t="s">
        <v>936</v>
      </c>
      <c r="I248" s="25" t="s">
        <v>937</v>
      </c>
      <c r="J248" s="25" t="s">
        <v>38</v>
      </c>
      <c r="K248" s="25">
        <v>60</v>
      </c>
      <c r="L248" s="25" t="s">
        <v>39</v>
      </c>
      <c r="M248" s="25" t="s">
        <v>58</v>
      </c>
      <c r="N248" s="23" t="s">
        <v>55</v>
      </c>
      <c r="O248" s="23" t="s">
        <v>59</v>
      </c>
      <c r="P248" s="26" t="s">
        <v>60</v>
      </c>
      <c r="Q248" s="26">
        <v>5</v>
      </c>
      <c r="R248" s="26" t="s">
        <v>61</v>
      </c>
      <c r="S248" s="26">
        <v>85</v>
      </c>
      <c r="T248" s="26">
        <v>95</v>
      </c>
      <c r="U248" s="23" t="s">
        <v>58</v>
      </c>
      <c r="V248" s="26" t="s">
        <v>420</v>
      </c>
      <c r="W248" s="23"/>
      <c r="X248" s="23" t="e">
        <f>IF(COUNTIF(#REF!,_xlfn.TEXTJOIN(".",,C248,F248,H248)),"是","否")</f>
        <v>#REF!</v>
      </c>
      <c r="Y248" s="23" t="e">
        <f t="shared" si="88"/>
        <v>#REF!</v>
      </c>
      <c r="Z248" s="23"/>
      <c r="AA248" s="23"/>
      <c r="AB248" s="23"/>
      <c r="AC248" s="23"/>
      <c r="AD248" s="23"/>
      <c r="AE248" s="23"/>
      <c r="AF248" s="23"/>
      <c r="AG248" s="23"/>
      <c r="AH248" s="23"/>
      <c r="AI248" s="23"/>
      <c r="AJ248" s="1" t="str">
        <f t="shared" si="89"/>
        <v>SYS.DATAARTS_MIGRATION.dm_di_job_id.flink_cpu_usage</v>
      </c>
      <c r="AK248" s="1"/>
      <c r="AL248" s="1"/>
    </row>
    <row r="249" spans="1:38" hidden="1" x14ac:dyDescent="0.25">
      <c r="A249" s="24">
        <f t="shared" si="87"/>
        <v>248</v>
      </c>
      <c r="B249" s="25" t="s">
        <v>914</v>
      </c>
      <c r="C249" s="25" t="s">
        <v>915</v>
      </c>
      <c r="D249" s="25" t="s">
        <v>916</v>
      </c>
      <c r="E249" s="25" t="s">
        <v>917</v>
      </c>
      <c r="F249" s="25" t="s">
        <v>918</v>
      </c>
      <c r="G249" s="25" t="s">
        <v>938</v>
      </c>
      <c r="H249" s="25" t="s">
        <v>939</v>
      </c>
      <c r="I249" s="25" t="s">
        <v>940</v>
      </c>
      <c r="J249" s="25" t="s">
        <v>38</v>
      </c>
      <c r="K249" s="25">
        <v>60</v>
      </c>
      <c r="L249" s="25" t="s">
        <v>39</v>
      </c>
      <c r="M249" s="25" t="s">
        <v>58</v>
      </c>
      <c r="N249" s="23" t="s">
        <v>55</v>
      </c>
      <c r="O249" s="23" t="s">
        <v>59</v>
      </c>
      <c r="P249" s="26" t="s">
        <v>60</v>
      </c>
      <c r="Q249" s="26">
        <v>5</v>
      </c>
      <c r="R249" s="26" t="s">
        <v>61</v>
      </c>
      <c r="S249" s="26">
        <v>80</v>
      </c>
      <c r="T249" s="26">
        <v>90</v>
      </c>
      <c r="U249" s="23" t="s">
        <v>58</v>
      </c>
      <c r="V249" s="26" t="s">
        <v>420</v>
      </c>
      <c r="W249" s="23"/>
      <c r="X249" s="23" t="e">
        <f>IF(COUNTIF(#REF!,_xlfn.TEXTJOIN(".",,C249,F249,H249)),"是","否")</f>
        <v>#REF!</v>
      </c>
      <c r="Y249" s="23" t="e">
        <f t="shared" si="88"/>
        <v>#REF!</v>
      </c>
      <c r="Z249" s="23"/>
      <c r="AA249" s="23"/>
      <c r="AB249" s="23"/>
      <c r="AC249" s="23"/>
      <c r="AD249" s="23"/>
      <c r="AE249" s="23"/>
      <c r="AF249" s="23"/>
      <c r="AG249" s="23"/>
      <c r="AH249" s="23"/>
      <c r="AI249" s="23"/>
      <c r="AJ249" s="1" t="str">
        <f t="shared" si="89"/>
        <v>SYS.DATAARTS_MIGRATION.dm_di_job_id.flink_mem_usage</v>
      </c>
      <c r="AK249" s="1"/>
      <c r="AL249" s="1"/>
    </row>
    <row r="250" spans="1:38" hidden="1" x14ac:dyDescent="0.25">
      <c r="A250" s="24">
        <f t="shared" si="87"/>
        <v>249</v>
      </c>
      <c r="B250" s="25" t="s">
        <v>914</v>
      </c>
      <c r="C250" s="25" t="s">
        <v>915</v>
      </c>
      <c r="D250" s="25" t="s">
        <v>916</v>
      </c>
      <c r="E250" s="25" t="s">
        <v>917</v>
      </c>
      <c r="F250" s="25" t="s">
        <v>918</v>
      </c>
      <c r="G250" s="25" t="s">
        <v>941</v>
      </c>
      <c r="H250" s="25" t="s">
        <v>942</v>
      </c>
      <c r="I250" s="22" t="s">
        <v>943</v>
      </c>
      <c r="J250" s="22" t="s">
        <v>38</v>
      </c>
      <c r="K250" s="22">
        <v>60</v>
      </c>
      <c r="L250" s="22" t="s">
        <v>39</v>
      </c>
      <c r="M250" s="22"/>
      <c r="N250" s="23" t="s">
        <v>55</v>
      </c>
      <c r="O250" s="23" t="s">
        <v>59</v>
      </c>
      <c r="P250" s="23" t="s">
        <v>60</v>
      </c>
      <c r="Q250" s="23">
        <v>2</v>
      </c>
      <c r="R250" s="23" t="s">
        <v>61</v>
      </c>
      <c r="S250" s="23">
        <v>100</v>
      </c>
      <c r="T250" s="23"/>
      <c r="U250" s="22"/>
      <c r="V250" s="23" t="s">
        <v>753</v>
      </c>
      <c r="W250" s="23"/>
      <c r="X250" s="23" t="e">
        <f>IF(COUNTIF(#REF!,_xlfn.TEXTJOIN(".",,C250,F250,H250)),"是","否")</f>
        <v>#REF!</v>
      </c>
      <c r="Y250" s="23" t="e">
        <f t="shared" si="88"/>
        <v>#REF!</v>
      </c>
      <c r="Z250" s="23"/>
      <c r="AA250" s="23"/>
      <c r="AB250" s="23"/>
      <c r="AC250" s="23"/>
      <c r="AD250" s="23"/>
      <c r="AE250" s="23"/>
      <c r="AF250" s="23"/>
      <c r="AG250" s="23"/>
      <c r="AH250" s="23"/>
      <c r="AI250" s="23"/>
      <c r="AJ250" s="1" t="str">
        <f t="shared" si="89"/>
        <v>SYS.DATAARTS_MIGRATION.dm_di_job_id.flink_max_op_backpressure_level</v>
      </c>
      <c r="AK250" s="1"/>
      <c r="AL250" s="1"/>
    </row>
    <row r="251" spans="1:38" hidden="1" x14ac:dyDescent="0.25">
      <c r="A251" s="24">
        <f t="shared" si="87"/>
        <v>250</v>
      </c>
      <c r="B251" s="25" t="s">
        <v>914</v>
      </c>
      <c r="C251" s="25" t="s">
        <v>915</v>
      </c>
      <c r="D251" s="25" t="s">
        <v>916</v>
      </c>
      <c r="E251" s="25" t="s">
        <v>917</v>
      </c>
      <c r="F251" s="25" t="s">
        <v>918</v>
      </c>
      <c r="G251" s="25" t="s">
        <v>944</v>
      </c>
      <c r="H251" s="25" t="s">
        <v>945</v>
      </c>
      <c r="I251" s="22" t="s">
        <v>944</v>
      </c>
      <c r="J251" s="22" t="s">
        <v>38</v>
      </c>
      <c r="K251" s="22">
        <v>60</v>
      </c>
      <c r="L251" s="22" t="s">
        <v>45</v>
      </c>
      <c r="M251" s="22" t="s">
        <v>172</v>
      </c>
      <c r="N251" s="23" t="s">
        <v>55</v>
      </c>
      <c r="O251" s="23" t="s">
        <v>59</v>
      </c>
      <c r="P251" s="23" t="s">
        <v>60</v>
      </c>
      <c r="Q251" s="23">
        <v>1</v>
      </c>
      <c r="R251" s="23" t="s">
        <v>334</v>
      </c>
      <c r="S251" s="23">
        <v>1</v>
      </c>
      <c r="T251" s="23"/>
      <c r="U251" s="22" t="s">
        <v>58</v>
      </c>
      <c r="V251" s="23" t="s">
        <v>946</v>
      </c>
      <c r="W251" s="23"/>
      <c r="X251" s="23" t="e">
        <f>IF(COUNTIF(#REF!,_xlfn.TEXTJOIN(".",,C251,F251,H251)),"是","否")</f>
        <v>#REF!</v>
      </c>
      <c r="Y251" s="23" t="e">
        <f t="shared" si="88"/>
        <v>#REF!</v>
      </c>
      <c r="Z251" s="23"/>
      <c r="AA251" s="23"/>
      <c r="AB251" s="23"/>
      <c r="AC251" s="23"/>
      <c r="AD251" s="23"/>
      <c r="AE251" s="23"/>
      <c r="AF251" s="23"/>
      <c r="AG251" s="23"/>
      <c r="AH251" s="23"/>
      <c r="AI251" s="23"/>
      <c r="AJ251" s="1" t="str">
        <f t="shared" si="89"/>
        <v>SYS.DATAARTS_MIGRATION.dm_di_job_id.job_retry_times</v>
      </c>
      <c r="AK251" s="1"/>
      <c r="AL251" s="1"/>
    </row>
    <row r="252" spans="1:38" hidden="1" x14ac:dyDescent="0.25">
      <c r="A252" s="24">
        <f t="shared" ref="A252:A261" si="90">ROW()-1</f>
        <v>251</v>
      </c>
      <c r="B252" s="25" t="s">
        <v>955</v>
      </c>
      <c r="C252" s="25" t="s">
        <v>956</v>
      </c>
      <c r="D252" s="25" t="s">
        <v>957</v>
      </c>
      <c r="E252" s="25" t="s">
        <v>958</v>
      </c>
      <c r="F252" s="25" t="s">
        <v>959</v>
      </c>
      <c r="G252" s="25" t="s">
        <v>960</v>
      </c>
      <c r="H252" s="25" t="s">
        <v>961</v>
      </c>
      <c r="I252" s="25" t="s">
        <v>962</v>
      </c>
      <c r="J252" s="25" t="s">
        <v>38</v>
      </c>
      <c r="K252" s="25">
        <v>60</v>
      </c>
      <c r="L252" s="25" t="s">
        <v>45</v>
      </c>
      <c r="M252" s="25" t="s">
        <v>83</v>
      </c>
      <c r="N252" s="23" t="s">
        <v>55</v>
      </c>
      <c r="O252" s="23" t="s">
        <v>59</v>
      </c>
      <c r="P252" s="23" t="s">
        <v>60</v>
      </c>
      <c r="Q252" s="23">
        <v>1</v>
      </c>
      <c r="R252" s="23" t="s">
        <v>240</v>
      </c>
      <c r="S252" s="23">
        <v>5</v>
      </c>
      <c r="T252" s="23">
        <v>10</v>
      </c>
      <c r="U252" s="23" t="s">
        <v>83</v>
      </c>
      <c r="V252" s="23" t="s">
        <v>62</v>
      </c>
      <c r="W252" s="23"/>
      <c r="X252" s="23" t="e">
        <f>IF(COUNTIF(#REF!,_xlfn.TEXTJOIN(".",,C252,F252,H252)),"是","否")</f>
        <v>#REF!</v>
      </c>
      <c r="Y252" s="23" t="e">
        <f t="shared" ref="Y252:Y261" si="91">IF(AND(O252="底线指标",X252="是"),"是","否")</f>
        <v>#REF!</v>
      </c>
      <c r="Z252" s="23"/>
      <c r="AA252" s="23"/>
      <c r="AB252" s="23"/>
      <c r="AC252" s="23"/>
      <c r="AD252" s="23"/>
      <c r="AE252" s="23"/>
      <c r="AF252" s="23"/>
      <c r="AG252" s="23"/>
      <c r="AH252" s="23"/>
      <c r="AI252" s="23"/>
      <c r="AJ252" s="1" t="str">
        <f t="shared" ref="AJ252:AJ261" si="92">_xlfn.TEXTJOIN(".",TRUE,C252,F252,H252)</f>
        <v>SYS.MPC.mpc_transcode.mpc_transcode_task_failed</v>
      </c>
      <c r="AK252" s="1"/>
      <c r="AL252" s="1"/>
    </row>
    <row r="253" spans="1:38" hidden="1" x14ac:dyDescent="0.25">
      <c r="A253" s="24">
        <f t="shared" si="90"/>
        <v>252</v>
      </c>
      <c r="B253" s="25" t="s">
        <v>963</v>
      </c>
      <c r="C253" s="25" t="s">
        <v>964</v>
      </c>
      <c r="D253" s="27" t="s">
        <v>965</v>
      </c>
      <c r="E253" s="25" t="s">
        <v>966</v>
      </c>
      <c r="F253" s="25" t="s">
        <v>967</v>
      </c>
      <c r="G253" s="25" t="s">
        <v>72</v>
      </c>
      <c r="H253" s="25" t="s">
        <v>107</v>
      </c>
      <c r="I253" s="25" t="s">
        <v>341</v>
      </c>
      <c r="J253" s="25" t="s">
        <v>38</v>
      </c>
      <c r="K253" s="25">
        <v>60</v>
      </c>
      <c r="L253" s="25" t="s">
        <v>39</v>
      </c>
      <c r="M253" s="25" t="s">
        <v>58</v>
      </c>
      <c r="N253" s="23" t="s">
        <v>55</v>
      </c>
      <c r="O253" s="23" t="s">
        <v>59</v>
      </c>
      <c r="P253" s="23" t="s">
        <v>60</v>
      </c>
      <c r="Q253" s="23">
        <v>3</v>
      </c>
      <c r="R253" s="23" t="s">
        <v>61</v>
      </c>
      <c r="S253" s="23">
        <v>80</v>
      </c>
      <c r="T253" s="23">
        <v>90</v>
      </c>
      <c r="U253" s="23" t="s">
        <v>58</v>
      </c>
      <c r="V253" s="23" t="s">
        <v>62</v>
      </c>
      <c r="W253" s="23"/>
      <c r="X253" s="23" t="e">
        <f>IF(COUNTIF(#REF!,_xlfn.TEXTJOIN(".",,C253,F253,H253)),"是","否")</f>
        <v>#REF!</v>
      </c>
      <c r="Y253" s="23" t="e">
        <f t="shared" si="91"/>
        <v>#REF!</v>
      </c>
      <c r="Z253" s="23" t="s">
        <v>55</v>
      </c>
      <c r="AA253" s="27" t="s">
        <v>55</v>
      </c>
      <c r="AB253" s="27" t="s">
        <v>60</v>
      </c>
      <c r="AC253" s="27">
        <v>3</v>
      </c>
      <c r="AD253" s="27" t="s">
        <v>61</v>
      </c>
      <c r="AE253" s="27">
        <v>80</v>
      </c>
      <c r="AF253" s="27"/>
      <c r="AG253" s="27"/>
      <c r="AH253" s="27" t="s">
        <v>58</v>
      </c>
      <c r="AI253" s="27" t="s">
        <v>62</v>
      </c>
      <c r="AJ253" s="1" t="str">
        <f t="shared" si="92"/>
        <v>SYS.DBPROXY.dbproxy_instance_id,dbproxy_node_id.rds001_cpu_util</v>
      </c>
      <c r="AK253" s="1" t="s">
        <v>152</v>
      </c>
      <c r="AL253" s="1"/>
    </row>
    <row r="254" spans="1:38" hidden="1" x14ac:dyDescent="0.25">
      <c r="A254" s="24">
        <f t="shared" si="90"/>
        <v>253</v>
      </c>
      <c r="B254" s="25" t="s">
        <v>963</v>
      </c>
      <c r="C254" s="25" t="s">
        <v>964</v>
      </c>
      <c r="D254" s="27" t="s">
        <v>965</v>
      </c>
      <c r="E254" s="25" t="s">
        <v>966</v>
      </c>
      <c r="F254" s="25" t="s">
        <v>967</v>
      </c>
      <c r="G254" s="25" t="s">
        <v>76</v>
      </c>
      <c r="H254" s="25" t="s">
        <v>109</v>
      </c>
      <c r="I254" s="25" t="s">
        <v>78</v>
      </c>
      <c r="J254" s="25" t="s">
        <v>38</v>
      </c>
      <c r="K254" s="25">
        <v>60</v>
      </c>
      <c r="L254" s="25" t="s">
        <v>39</v>
      </c>
      <c r="M254" s="25" t="s">
        <v>58</v>
      </c>
      <c r="N254" s="23" t="s">
        <v>55</v>
      </c>
      <c r="O254" s="23" t="s">
        <v>59</v>
      </c>
      <c r="P254" s="23" t="s">
        <v>60</v>
      </c>
      <c r="Q254" s="23">
        <v>3</v>
      </c>
      <c r="R254" s="23" t="s">
        <v>61</v>
      </c>
      <c r="S254" s="23">
        <v>90</v>
      </c>
      <c r="T254" s="23">
        <v>95</v>
      </c>
      <c r="U254" s="23" t="s">
        <v>58</v>
      </c>
      <c r="V254" s="23" t="s">
        <v>62</v>
      </c>
      <c r="W254" s="23"/>
      <c r="X254" s="23" t="e">
        <f>IF(COUNTIF(#REF!,_xlfn.TEXTJOIN(".",,C254,F254,H254)),"是","否")</f>
        <v>#REF!</v>
      </c>
      <c r="Y254" s="23" t="e">
        <f t="shared" si="91"/>
        <v>#REF!</v>
      </c>
      <c r="Z254" s="23" t="s">
        <v>55</v>
      </c>
      <c r="AA254" s="27" t="s">
        <v>55</v>
      </c>
      <c r="AB254" s="27" t="s">
        <v>60</v>
      </c>
      <c r="AC254" s="27">
        <v>3</v>
      </c>
      <c r="AD254" s="27" t="s">
        <v>61</v>
      </c>
      <c r="AE254" s="27">
        <v>90</v>
      </c>
      <c r="AF254" s="27"/>
      <c r="AG254" s="27"/>
      <c r="AH254" s="27" t="s">
        <v>58</v>
      </c>
      <c r="AI254" s="27" t="s">
        <v>62</v>
      </c>
      <c r="AJ254" s="1" t="str">
        <f t="shared" si="92"/>
        <v>SYS.DBPROXY.dbproxy_instance_id,dbproxy_node_id.rds002_mem_util</v>
      </c>
      <c r="AK254" s="1" t="s">
        <v>152</v>
      </c>
      <c r="AL254" s="1"/>
    </row>
    <row r="255" spans="1:38" hidden="1" x14ac:dyDescent="0.25">
      <c r="A255" s="24">
        <f t="shared" si="90"/>
        <v>254</v>
      </c>
      <c r="B255" s="25" t="s">
        <v>963</v>
      </c>
      <c r="C255" s="25" t="s">
        <v>964</v>
      </c>
      <c r="D255" s="27" t="s">
        <v>965</v>
      </c>
      <c r="E255" s="25" t="s">
        <v>966</v>
      </c>
      <c r="F255" s="25" t="s">
        <v>967</v>
      </c>
      <c r="G255" s="25" t="s">
        <v>968</v>
      </c>
      <c r="H255" s="25" t="s">
        <v>284</v>
      </c>
      <c r="I255" s="25" t="s">
        <v>969</v>
      </c>
      <c r="J255" s="25" t="s">
        <v>38</v>
      </c>
      <c r="K255" s="25">
        <v>300</v>
      </c>
      <c r="L255" s="25" t="s">
        <v>39</v>
      </c>
      <c r="M255" s="25" t="s">
        <v>58</v>
      </c>
      <c r="N255" s="23" t="s">
        <v>55</v>
      </c>
      <c r="O255" s="23" t="s">
        <v>59</v>
      </c>
      <c r="P255" s="23" t="s">
        <v>60</v>
      </c>
      <c r="Q255" s="23">
        <v>2</v>
      </c>
      <c r="R255" s="23" t="s">
        <v>61</v>
      </c>
      <c r="S255" s="23">
        <v>90</v>
      </c>
      <c r="T255" s="23">
        <v>95</v>
      </c>
      <c r="U255" s="23" t="s">
        <v>58</v>
      </c>
      <c r="V255" s="23" t="s">
        <v>62</v>
      </c>
      <c r="W255" s="23" t="s">
        <v>970</v>
      </c>
      <c r="X255" s="23" t="e">
        <f>IF(COUNTIF(#REF!,_xlfn.TEXTJOIN(".",,C255,F255,H255)),"是","否")</f>
        <v>#REF!</v>
      </c>
      <c r="Y255" s="23" t="e">
        <f t="shared" si="91"/>
        <v>#REF!</v>
      </c>
      <c r="Z255" s="23" t="s">
        <v>55</v>
      </c>
      <c r="AA255" s="23"/>
      <c r="AB255" s="23"/>
      <c r="AC255" s="23"/>
      <c r="AD255" s="23"/>
      <c r="AE255" s="23"/>
      <c r="AF255" s="23"/>
      <c r="AG255" s="23"/>
      <c r="AH255" s="23"/>
      <c r="AI255" s="23"/>
      <c r="AJ255" s="1" t="str">
        <f t="shared" si="92"/>
        <v>SYS.DBPROXY.dbproxy_instance_id,dbproxy_node_id.l4_out_bps_usage</v>
      </c>
      <c r="AK255" s="1" t="s">
        <v>152</v>
      </c>
      <c r="AL255" s="1"/>
    </row>
    <row r="256" spans="1:38" hidden="1" x14ac:dyDescent="0.25">
      <c r="A256" s="24">
        <f t="shared" si="90"/>
        <v>255</v>
      </c>
      <c r="B256" s="25" t="s">
        <v>963</v>
      </c>
      <c r="C256" s="25" t="s">
        <v>964</v>
      </c>
      <c r="D256" s="27" t="s">
        <v>965</v>
      </c>
      <c r="E256" s="25" t="s">
        <v>966</v>
      </c>
      <c r="F256" s="25" t="s">
        <v>967</v>
      </c>
      <c r="G256" s="25" t="s">
        <v>971</v>
      </c>
      <c r="H256" s="25" t="s">
        <v>278</v>
      </c>
      <c r="I256" s="25" t="s">
        <v>972</v>
      </c>
      <c r="J256" s="25" t="s">
        <v>38</v>
      </c>
      <c r="K256" s="25">
        <v>300</v>
      </c>
      <c r="L256" s="25" t="s">
        <v>39</v>
      </c>
      <c r="M256" s="25" t="s">
        <v>58</v>
      </c>
      <c r="N256" s="23" t="s">
        <v>55</v>
      </c>
      <c r="O256" s="23" t="s">
        <v>59</v>
      </c>
      <c r="P256" s="23" t="s">
        <v>60</v>
      </c>
      <c r="Q256" s="23">
        <v>2</v>
      </c>
      <c r="R256" s="23" t="s">
        <v>61</v>
      </c>
      <c r="S256" s="23">
        <v>90</v>
      </c>
      <c r="T256" s="23">
        <v>95</v>
      </c>
      <c r="U256" s="23" t="s">
        <v>58</v>
      </c>
      <c r="V256" s="23" t="s">
        <v>62</v>
      </c>
      <c r="W256" s="23" t="s">
        <v>970</v>
      </c>
      <c r="X256" s="23" t="e">
        <f>IF(COUNTIF(#REF!,_xlfn.TEXTJOIN(".",,C256,F256,H256)),"是","否")</f>
        <v>#REF!</v>
      </c>
      <c r="Y256" s="23" t="e">
        <f t="shared" si="91"/>
        <v>#REF!</v>
      </c>
      <c r="Z256" s="23" t="s">
        <v>55</v>
      </c>
      <c r="AA256" s="23"/>
      <c r="AB256" s="23"/>
      <c r="AC256" s="23"/>
      <c r="AD256" s="23"/>
      <c r="AE256" s="23"/>
      <c r="AF256" s="23"/>
      <c r="AG256" s="23"/>
      <c r="AH256" s="23"/>
      <c r="AI256" s="23"/>
      <c r="AJ256" s="1" t="str">
        <f t="shared" si="92"/>
        <v>SYS.DBPROXY.dbproxy_instance_id,dbproxy_node_id.l4_in_bps_usage</v>
      </c>
      <c r="AK256" s="1" t="s">
        <v>152</v>
      </c>
      <c r="AL256" s="1"/>
    </row>
    <row r="257" spans="1:38" hidden="1" x14ac:dyDescent="0.25">
      <c r="A257" s="24">
        <f t="shared" si="90"/>
        <v>256</v>
      </c>
      <c r="B257" s="25" t="s">
        <v>963</v>
      </c>
      <c r="C257" s="25" t="s">
        <v>964</v>
      </c>
      <c r="D257" s="27" t="s">
        <v>965</v>
      </c>
      <c r="E257" s="25" t="s">
        <v>966</v>
      </c>
      <c r="F257" s="25" t="s">
        <v>967</v>
      </c>
      <c r="G257" s="25" t="s">
        <v>973</v>
      </c>
      <c r="H257" s="25" t="s">
        <v>270</v>
      </c>
      <c r="I257" s="25" t="s">
        <v>974</v>
      </c>
      <c r="J257" s="25" t="s">
        <v>38</v>
      </c>
      <c r="K257" s="25">
        <v>300</v>
      </c>
      <c r="L257" s="25" t="s">
        <v>45</v>
      </c>
      <c r="M257" s="25" t="s">
        <v>43</v>
      </c>
      <c r="N257" s="23" t="s">
        <v>55</v>
      </c>
      <c r="O257" s="23" t="s">
        <v>59</v>
      </c>
      <c r="P257" s="23" t="s">
        <v>60</v>
      </c>
      <c r="Q257" s="23">
        <v>1</v>
      </c>
      <c r="R257" s="23" t="s">
        <v>61</v>
      </c>
      <c r="S257" s="23"/>
      <c r="T257" s="23">
        <v>0</v>
      </c>
      <c r="U257" s="23" t="s">
        <v>172</v>
      </c>
      <c r="V257" s="23" t="s">
        <v>62</v>
      </c>
      <c r="W257" s="23" t="s">
        <v>970</v>
      </c>
      <c r="X257" s="23" t="e">
        <f>IF(COUNTIF(#REF!,_xlfn.TEXTJOIN(".",,C257,F257,H257)),"是","否")</f>
        <v>#REF!</v>
      </c>
      <c r="Y257" s="23" t="e">
        <f t="shared" si="91"/>
        <v>#REF!</v>
      </c>
      <c r="Z257" s="23" t="s">
        <v>55</v>
      </c>
      <c r="AA257" s="23"/>
      <c r="AB257" s="23"/>
      <c r="AC257" s="23"/>
      <c r="AD257" s="23"/>
      <c r="AE257" s="23"/>
      <c r="AF257" s="23"/>
      <c r="AG257" s="23"/>
      <c r="AH257" s="23"/>
      <c r="AI257" s="23"/>
      <c r="AJ257" s="1" t="str">
        <f t="shared" si="92"/>
        <v>SYS.DBPROXY.dbproxy_instance_id,dbproxy_node_id.m9_abnormal_servers</v>
      </c>
      <c r="AK257" s="1" t="s">
        <v>302</v>
      </c>
      <c r="AL257" s="1"/>
    </row>
    <row r="258" spans="1:38" hidden="1" x14ac:dyDescent="0.25">
      <c r="A258" s="24">
        <f t="shared" si="90"/>
        <v>257</v>
      </c>
      <c r="B258" s="25" t="s">
        <v>975</v>
      </c>
      <c r="C258" s="25" t="s">
        <v>976</v>
      </c>
      <c r="D258" s="25" t="s">
        <v>965</v>
      </c>
      <c r="E258" s="25" t="s">
        <v>977</v>
      </c>
      <c r="F258" s="25" t="s">
        <v>978</v>
      </c>
      <c r="G258" s="25" t="s">
        <v>72</v>
      </c>
      <c r="H258" s="25" t="s">
        <v>107</v>
      </c>
      <c r="I258" s="25" t="s">
        <v>341</v>
      </c>
      <c r="J258" s="25" t="s">
        <v>38</v>
      </c>
      <c r="K258" s="25">
        <v>60</v>
      </c>
      <c r="L258" s="25"/>
      <c r="M258" s="25" t="s">
        <v>58</v>
      </c>
      <c r="N258" s="23" t="s">
        <v>55</v>
      </c>
      <c r="O258" s="23" t="s">
        <v>59</v>
      </c>
      <c r="P258" s="26" t="s">
        <v>60</v>
      </c>
      <c r="Q258" s="26">
        <v>3</v>
      </c>
      <c r="R258" s="26" t="s">
        <v>240</v>
      </c>
      <c r="S258" s="26">
        <v>80</v>
      </c>
      <c r="T258" s="34">
        <v>95</v>
      </c>
      <c r="U258" s="23" t="s">
        <v>58</v>
      </c>
      <c r="V258" s="23" t="s">
        <v>62</v>
      </c>
      <c r="W258" s="23"/>
      <c r="X258" s="23" t="e">
        <f>IF(COUNTIF(#REF!,_xlfn.TEXTJOIN(".",,C258,F258,H258)),"是","否")</f>
        <v>#REF!</v>
      </c>
      <c r="Y258" s="23" t="e">
        <f t="shared" si="91"/>
        <v>#REF!</v>
      </c>
      <c r="Z258" s="23" t="s">
        <v>55</v>
      </c>
      <c r="AA258" s="27" t="s">
        <v>55</v>
      </c>
      <c r="AB258" s="27" t="s">
        <v>60</v>
      </c>
      <c r="AC258" s="27">
        <v>3</v>
      </c>
      <c r="AD258" s="27" t="s">
        <v>61</v>
      </c>
      <c r="AE258" s="27">
        <v>80</v>
      </c>
      <c r="AF258" s="27"/>
      <c r="AG258" s="27"/>
      <c r="AH258" s="27" t="s">
        <v>58</v>
      </c>
      <c r="AI258" s="27" t="s">
        <v>62</v>
      </c>
      <c r="AJ258" s="1" t="str">
        <f t="shared" si="92"/>
        <v>SYS.RDS.rds_cluster_sqlserver_id.rds001_cpu_util</v>
      </c>
      <c r="AK258" s="1" t="s">
        <v>152</v>
      </c>
      <c r="AL258" s="1"/>
    </row>
    <row r="259" spans="1:38" hidden="1" x14ac:dyDescent="0.25">
      <c r="A259" s="24">
        <f t="shared" si="90"/>
        <v>258</v>
      </c>
      <c r="B259" s="25" t="s">
        <v>975</v>
      </c>
      <c r="C259" s="25" t="s">
        <v>976</v>
      </c>
      <c r="D259" s="25" t="s">
        <v>965</v>
      </c>
      <c r="E259" s="25" t="s">
        <v>977</v>
      </c>
      <c r="F259" s="25" t="s">
        <v>978</v>
      </c>
      <c r="G259" s="25" t="s">
        <v>76</v>
      </c>
      <c r="H259" s="25" t="s">
        <v>109</v>
      </c>
      <c r="I259" s="25" t="s">
        <v>78</v>
      </c>
      <c r="J259" s="25" t="s">
        <v>38</v>
      </c>
      <c r="K259" s="25">
        <v>60</v>
      </c>
      <c r="L259" s="25"/>
      <c r="M259" s="25" t="s">
        <v>58</v>
      </c>
      <c r="N259" s="23" t="s">
        <v>55</v>
      </c>
      <c r="O259" s="23" t="s">
        <v>59</v>
      </c>
      <c r="P259" s="26" t="s">
        <v>60</v>
      </c>
      <c r="Q259" s="26">
        <v>3</v>
      </c>
      <c r="R259" s="26" t="s">
        <v>240</v>
      </c>
      <c r="S259" s="26">
        <v>90</v>
      </c>
      <c r="T259" s="26">
        <v>95</v>
      </c>
      <c r="U259" s="23" t="s">
        <v>58</v>
      </c>
      <c r="V259" s="23" t="s">
        <v>62</v>
      </c>
      <c r="W259" s="23"/>
      <c r="X259" s="23" t="e">
        <f>IF(COUNTIF(#REF!,_xlfn.TEXTJOIN(".",,C259,F259,H259)),"是","否")</f>
        <v>#REF!</v>
      </c>
      <c r="Y259" s="23" t="e">
        <f t="shared" si="91"/>
        <v>#REF!</v>
      </c>
      <c r="Z259" s="23" t="s">
        <v>55</v>
      </c>
      <c r="AA259" s="27" t="s">
        <v>55</v>
      </c>
      <c r="AB259" s="27" t="s">
        <v>60</v>
      </c>
      <c r="AC259" s="27">
        <v>3</v>
      </c>
      <c r="AD259" s="27" t="s">
        <v>61</v>
      </c>
      <c r="AE259" s="27">
        <v>90</v>
      </c>
      <c r="AF259" s="27"/>
      <c r="AG259" s="27"/>
      <c r="AH259" s="27" t="s">
        <v>58</v>
      </c>
      <c r="AI259" s="27" t="s">
        <v>62</v>
      </c>
      <c r="AJ259" s="1" t="str">
        <f t="shared" si="92"/>
        <v>SYS.RDS.rds_cluster_sqlserver_id.rds002_mem_util</v>
      </c>
      <c r="AK259" s="1" t="s">
        <v>152</v>
      </c>
      <c r="AL259" s="1"/>
    </row>
    <row r="260" spans="1:38" hidden="1" x14ac:dyDescent="0.25">
      <c r="A260" s="24">
        <f t="shared" si="90"/>
        <v>259</v>
      </c>
      <c r="B260" s="25" t="s">
        <v>975</v>
      </c>
      <c r="C260" s="25" t="s">
        <v>976</v>
      </c>
      <c r="D260" s="25" t="s">
        <v>965</v>
      </c>
      <c r="E260" s="25" t="s">
        <v>977</v>
      </c>
      <c r="F260" s="25" t="s">
        <v>978</v>
      </c>
      <c r="G260" s="25" t="s">
        <v>344</v>
      </c>
      <c r="H260" s="25" t="s">
        <v>345</v>
      </c>
      <c r="I260" s="25" t="s">
        <v>81</v>
      </c>
      <c r="J260" s="25" t="s">
        <v>38</v>
      </c>
      <c r="K260" s="25">
        <v>60</v>
      </c>
      <c r="L260" s="25"/>
      <c r="M260" s="25" t="s">
        <v>58</v>
      </c>
      <c r="N260" s="23" t="s">
        <v>55</v>
      </c>
      <c r="O260" s="23" t="s">
        <v>59</v>
      </c>
      <c r="P260" s="26" t="s">
        <v>60</v>
      </c>
      <c r="Q260" s="26">
        <v>3</v>
      </c>
      <c r="R260" s="26" t="s">
        <v>240</v>
      </c>
      <c r="S260" s="26">
        <v>80</v>
      </c>
      <c r="T260" s="26">
        <v>95</v>
      </c>
      <c r="U260" s="23" t="s">
        <v>58</v>
      </c>
      <c r="V260" s="23" t="s">
        <v>62</v>
      </c>
      <c r="W260" s="23"/>
      <c r="X260" s="23" t="e">
        <f>IF(COUNTIF(#REF!,_xlfn.TEXTJOIN(".",,C260,F260,H260)),"是","否")</f>
        <v>#REF!</v>
      </c>
      <c r="Y260" s="23" t="e">
        <f t="shared" si="91"/>
        <v>#REF!</v>
      </c>
      <c r="Z260" s="23" t="s">
        <v>55</v>
      </c>
      <c r="AA260" s="27" t="s">
        <v>55</v>
      </c>
      <c r="AB260" s="27" t="s">
        <v>60</v>
      </c>
      <c r="AC260" s="27">
        <v>3</v>
      </c>
      <c r="AD260" s="27" t="s">
        <v>61</v>
      </c>
      <c r="AE260" s="27">
        <v>80</v>
      </c>
      <c r="AF260" s="27"/>
      <c r="AG260" s="27"/>
      <c r="AH260" s="27" t="s">
        <v>58</v>
      </c>
      <c r="AI260" s="27" t="s">
        <v>62</v>
      </c>
      <c r="AJ260" s="1" t="str">
        <f t="shared" si="92"/>
        <v>SYS.RDS.rds_cluster_sqlserver_id.rds039_disk_util</v>
      </c>
      <c r="AK260" s="1" t="s">
        <v>152</v>
      </c>
      <c r="AL260" s="1"/>
    </row>
    <row r="261" spans="1:38" hidden="1" x14ac:dyDescent="0.25">
      <c r="A261" s="24">
        <f t="shared" si="90"/>
        <v>260</v>
      </c>
      <c r="B261" s="25" t="s">
        <v>975</v>
      </c>
      <c r="C261" s="25" t="s">
        <v>976</v>
      </c>
      <c r="D261" s="25" t="s">
        <v>965</v>
      </c>
      <c r="E261" s="25" t="s">
        <v>977</v>
      </c>
      <c r="F261" s="25" t="s">
        <v>978</v>
      </c>
      <c r="G261" s="25" t="s">
        <v>979</v>
      </c>
      <c r="H261" s="25" t="s">
        <v>980</v>
      </c>
      <c r="I261" s="22" t="s">
        <v>981</v>
      </c>
      <c r="J261" s="22" t="s">
        <v>38</v>
      </c>
      <c r="K261" s="22">
        <v>60</v>
      </c>
      <c r="L261" s="22"/>
      <c r="M261" s="22" t="s">
        <v>83</v>
      </c>
      <c r="N261" s="23" t="s">
        <v>55</v>
      </c>
      <c r="O261" s="23" t="s">
        <v>59</v>
      </c>
      <c r="P261" s="23" t="s">
        <v>60</v>
      </c>
      <c r="Q261" s="23">
        <v>3</v>
      </c>
      <c r="R261" s="23" t="s">
        <v>61</v>
      </c>
      <c r="S261" s="23">
        <v>80</v>
      </c>
      <c r="T261" s="23"/>
      <c r="U261" s="22" t="s">
        <v>172</v>
      </c>
      <c r="V261" s="23" t="s">
        <v>62</v>
      </c>
      <c r="W261" s="23"/>
      <c r="X261" s="23" t="e">
        <f>IF(COUNTIF(#REF!,_xlfn.TEXTJOIN(".",,C261,F261,H261)),"是","否")</f>
        <v>#REF!</v>
      </c>
      <c r="Y261" s="23" t="e">
        <f t="shared" si="91"/>
        <v>#REF!</v>
      </c>
      <c r="Z261" s="23"/>
      <c r="AA261" s="23"/>
      <c r="AB261" s="23"/>
      <c r="AC261" s="23"/>
      <c r="AD261" s="23"/>
      <c r="AE261" s="23"/>
      <c r="AF261" s="23"/>
      <c r="AG261" s="23"/>
      <c r="AH261" s="23"/>
      <c r="AI261" s="23"/>
      <c r="AJ261" s="1" t="str">
        <f t="shared" si="92"/>
        <v>SYS.RDS.rds_cluster_sqlserver_id.rds054_db_connections_in_use</v>
      </c>
      <c r="AK261" s="1"/>
      <c r="AL261" s="1"/>
    </row>
    <row r="262" spans="1:38" hidden="1" x14ac:dyDescent="0.25">
      <c r="A262" s="24">
        <f t="shared" ref="A262:A263" si="93">ROW()-1</f>
        <v>261</v>
      </c>
      <c r="B262" s="25" t="s">
        <v>975</v>
      </c>
      <c r="C262" s="25" t="s">
        <v>976</v>
      </c>
      <c r="D262" s="25" t="s">
        <v>965</v>
      </c>
      <c r="E262" s="25" t="s">
        <v>984</v>
      </c>
      <c r="F262" s="25" t="s">
        <v>985</v>
      </c>
      <c r="G262" s="25" t="s">
        <v>72</v>
      </c>
      <c r="H262" s="25" t="s">
        <v>107</v>
      </c>
      <c r="I262" s="25" t="s">
        <v>341</v>
      </c>
      <c r="J262" s="25" t="s">
        <v>38</v>
      </c>
      <c r="K262" s="25">
        <v>60</v>
      </c>
      <c r="L262" s="25" t="s">
        <v>39</v>
      </c>
      <c r="M262" s="25" t="s">
        <v>58</v>
      </c>
      <c r="N262" s="23" t="s">
        <v>55</v>
      </c>
      <c r="O262" s="23" t="s">
        <v>59</v>
      </c>
      <c r="P262" s="26" t="s">
        <v>60</v>
      </c>
      <c r="Q262" s="26">
        <v>3</v>
      </c>
      <c r="R262" s="26" t="s">
        <v>240</v>
      </c>
      <c r="S262" s="26">
        <v>80</v>
      </c>
      <c r="T262" s="26">
        <v>90</v>
      </c>
      <c r="U262" s="23" t="s">
        <v>58</v>
      </c>
      <c r="V262" s="23" t="s">
        <v>62</v>
      </c>
      <c r="W262" s="23"/>
      <c r="X262" s="23" t="e">
        <f>IF(COUNTIF(#REF!,_xlfn.TEXTJOIN(".",,C262,F262,H262)),"是","否")</f>
        <v>#REF!</v>
      </c>
      <c r="Y262" s="23" t="e">
        <f t="shared" ref="Y262:Y263" si="94">IF(AND(O262="底线指标",X262="是"),"是","否")</f>
        <v>#REF!</v>
      </c>
      <c r="Z262" s="23" t="s">
        <v>55</v>
      </c>
      <c r="AA262" s="23"/>
      <c r="AB262" s="23"/>
      <c r="AC262" s="23"/>
      <c r="AD262" s="23"/>
      <c r="AE262" s="23"/>
      <c r="AF262" s="23"/>
      <c r="AG262" s="23"/>
      <c r="AH262" s="23"/>
      <c r="AI262" s="23"/>
      <c r="AJ262" s="1" t="str">
        <f t="shared" ref="AJ262:AJ263" si="95">_xlfn.TEXTJOIN(".",TRUE,C262,F262,H262)</f>
        <v>SYS.RDS.mariadb_cluster_id.rds001_cpu_util</v>
      </c>
      <c r="AK262" s="1" t="s">
        <v>152</v>
      </c>
      <c r="AL262" s="1"/>
    </row>
    <row r="263" spans="1:38" hidden="1" x14ac:dyDescent="0.25">
      <c r="A263" s="24">
        <f t="shared" si="93"/>
        <v>262</v>
      </c>
      <c r="B263" s="25" t="s">
        <v>975</v>
      </c>
      <c r="C263" s="25" t="s">
        <v>976</v>
      </c>
      <c r="D263" s="25" t="s">
        <v>965</v>
      </c>
      <c r="E263" s="25" t="s">
        <v>984</v>
      </c>
      <c r="F263" s="25" t="s">
        <v>985</v>
      </c>
      <c r="G263" s="25" t="s">
        <v>76</v>
      </c>
      <c r="H263" s="25" t="s">
        <v>109</v>
      </c>
      <c r="I263" s="25" t="s">
        <v>78</v>
      </c>
      <c r="J263" s="25" t="s">
        <v>38</v>
      </c>
      <c r="K263" s="25">
        <v>60</v>
      </c>
      <c r="L263" s="25" t="s">
        <v>39</v>
      </c>
      <c r="M263" s="25" t="s">
        <v>58</v>
      </c>
      <c r="N263" s="23" t="s">
        <v>55</v>
      </c>
      <c r="O263" s="23" t="s">
        <v>59</v>
      </c>
      <c r="P263" s="26" t="s">
        <v>60</v>
      </c>
      <c r="Q263" s="26">
        <v>3</v>
      </c>
      <c r="R263" s="26" t="s">
        <v>240</v>
      </c>
      <c r="S263" s="26">
        <v>90</v>
      </c>
      <c r="T263" s="26">
        <v>95</v>
      </c>
      <c r="U263" s="23" t="s">
        <v>58</v>
      </c>
      <c r="V263" s="23" t="s">
        <v>62</v>
      </c>
      <c r="W263" s="23"/>
      <c r="X263" s="23" t="e">
        <f>IF(COUNTIF(#REF!,_xlfn.TEXTJOIN(".",,C263,F263,H263)),"是","否")</f>
        <v>#REF!</v>
      </c>
      <c r="Y263" s="23" t="e">
        <f t="shared" si="94"/>
        <v>#REF!</v>
      </c>
      <c r="Z263" s="23" t="s">
        <v>55</v>
      </c>
      <c r="AA263" s="23"/>
      <c r="AB263" s="23"/>
      <c r="AC263" s="23"/>
      <c r="AD263" s="23"/>
      <c r="AE263" s="23"/>
      <c r="AF263" s="23"/>
      <c r="AG263" s="23"/>
      <c r="AH263" s="23"/>
      <c r="AI263" s="23"/>
      <c r="AJ263" s="1" t="str">
        <f t="shared" si="95"/>
        <v>SYS.RDS.mariadb_cluster_id.rds002_mem_util</v>
      </c>
      <c r="AK263" s="1" t="s">
        <v>152</v>
      </c>
      <c r="AL263" s="1"/>
    </row>
    <row r="264" spans="1:38" hidden="1" x14ac:dyDescent="0.25">
      <c r="A264" s="24">
        <f t="shared" ref="A264:A268" si="96">ROW()-1</f>
        <v>263</v>
      </c>
      <c r="B264" s="25" t="s">
        <v>975</v>
      </c>
      <c r="C264" s="25" t="s">
        <v>976</v>
      </c>
      <c r="D264" s="25" t="s">
        <v>965</v>
      </c>
      <c r="E264" s="25" t="s">
        <v>984</v>
      </c>
      <c r="F264" s="25" t="s">
        <v>985</v>
      </c>
      <c r="G264" s="25" t="s">
        <v>344</v>
      </c>
      <c r="H264" s="25" t="s">
        <v>345</v>
      </c>
      <c r="I264" s="25" t="s">
        <v>81</v>
      </c>
      <c r="J264" s="25" t="s">
        <v>38</v>
      </c>
      <c r="K264" s="25">
        <v>60</v>
      </c>
      <c r="L264" s="25" t="s">
        <v>39</v>
      </c>
      <c r="M264" s="25" t="s">
        <v>58</v>
      </c>
      <c r="N264" s="23" t="s">
        <v>55</v>
      </c>
      <c r="O264" s="23" t="s">
        <v>59</v>
      </c>
      <c r="P264" s="26" t="s">
        <v>60</v>
      </c>
      <c r="Q264" s="26">
        <v>3</v>
      </c>
      <c r="R264" s="26" t="s">
        <v>240</v>
      </c>
      <c r="S264" s="26">
        <v>80</v>
      </c>
      <c r="T264" s="26">
        <v>95</v>
      </c>
      <c r="U264" s="23" t="s">
        <v>58</v>
      </c>
      <c r="V264" s="23" t="s">
        <v>62</v>
      </c>
      <c r="W264" s="23"/>
      <c r="X264" s="23" t="e">
        <f>IF(COUNTIF(#REF!,_xlfn.TEXTJOIN(".",,C264,F264,H264)),"是","否")</f>
        <v>#REF!</v>
      </c>
      <c r="Y264" s="23" t="e">
        <f t="shared" ref="Y264:Y268" si="97">IF(AND(O264="底线指标",X264="是"),"是","否")</f>
        <v>#REF!</v>
      </c>
      <c r="Z264" s="23" t="s">
        <v>55</v>
      </c>
      <c r="AA264" s="23"/>
      <c r="AB264" s="23"/>
      <c r="AC264" s="23"/>
      <c r="AD264" s="23"/>
      <c r="AE264" s="23"/>
      <c r="AF264" s="23"/>
      <c r="AG264" s="23"/>
      <c r="AH264" s="23"/>
      <c r="AI264" s="23"/>
      <c r="AJ264" s="1" t="str">
        <f t="shared" ref="AJ264:AJ268" si="98">_xlfn.TEXTJOIN(".",TRUE,C264,F264,H264)</f>
        <v>SYS.RDS.mariadb_cluster_id.rds039_disk_util</v>
      </c>
      <c r="AK264" s="1" t="s">
        <v>152</v>
      </c>
      <c r="AL264" s="1"/>
    </row>
    <row r="265" spans="1:38" hidden="1" x14ac:dyDescent="0.25">
      <c r="A265" s="24">
        <f t="shared" si="96"/>
        <v>264</v>
      </c>
      <c r="B265" s="25" t="s">
        <v>975</v>
      </c>
      <c r="C265" s="25" t="s">
        <v>976</v>
      </c>
      <c r="D265" s="25" t="s">
        <v>965</v>
      </c>
      <c r="E265" s="25" t="s">
        <v>984</v>
      </c>
      <c r="F265" s="25" t="s">
        <v>985</v>
      </c>
      <c r="G265" s="25" t="s">
        <v>174</v>
      </c>
      <c r="H265" s="25" t="s">
        <v>348</v>
      </c>
      <c r="I265" s="25" t="s">
        <v>982</v>
      </c>
      <c r="J265" s="25" t="s">
        <v>38</v>
      </c>
      <c r="K265" s="25">
        <v>60</v>
      </c>
      <c r="L265" s="25" t="s">
        <v>39</v>
      </c>
      <c r="M265" s="25" t="s">
        <v>58</v>
      </c>
      <c r="N265" s="23" t="s">
        <v>55</v>
      </c>
      <c r="O265" s="23" t="s">
        <v>59</v>
      </c>
      <c r="P265" s="26" t="s">
        <v>60</v>
      </c>
      <c r="Q265" s="26">
        <v>3</v>
      </c>
      <c r="R265" s="26" t="s">
        <v>240</v>
      </c>
      <c r="S265" s="26">
        <v>80</v>
      </c>
      <c r="T265" s="26">
        <v>90</v>
      </c>
      <c r="U265" s="23" t="s">
        <v>58</v>
      </c>
      <c r="V265" s="23" t="s">
        <v>62</v>
      </c>
      <c r="W265" s="23"/>
      <c r="X265" s="23" t="e">
        <f>IF(COUNTIF(#REF!,_xlfn.TEXTJOIN(".",,C265,F265,H265)),"是","否")</f>
        <v>#REF!</v>
      </c>
      <c r="Y265" s="23" t="e">
        <f t="shared" si="97"/>
        <v>#REF!</v>
      </c>
      <c r="Z265" s="23" t="s">
        <v>55</v>
      </c>
      <c r="AA265" s="23"/>
      <c r="AB265" s="23"/>
      <c r="AC265" s="23"/>
      <c r="AD265" s="23"/>
      <c r="AE265" s="23"/>
      <c r="AF265" s="23"/>
      <c r="AG265" s="23"/>
      <c r="AH265" s="23"/>
      <c r="AI265" s="23"/>
      <c r="AJ265" s="1" t="str">
        <f t="shared" si="98"/>
        <v>SYS.RDS.mariadb_cluster_id.rds072_conn_usage</v>
      </c>
      <c r="AK265" s="1" t="s">
        <v>152</v>
      </c>
      <c r="AL265" s="1"/>
    </row>
    <row r="266" spans="1:38" hidden="1" x14ac:dyDescent="0.25">
      <c r="A266" s="24">
        <f t="shared" si="96"/>
        <v>265</v>
      </c>
      <c r="B266" s="25" t="s">
        <v>975</v>
      </c>
      <c r="C266" s="25" t="s">
        <v>976</v>
      </c>
      <c r="D266" s="25" t="s">
        <v>965</v>
      </c>
      <c r="E266" s="25" t="s">
        <v>984</v>
      </c>
      <c r="F266" s="25" t="s">
        <v>985</v>
      </c>
      <c r="G266" s="25" t="s">
        <v>349</v>
      </c>
      <c r="H266" s="25" t="s">
        <v>350</v>
      </c>
      <c r="I266" s="25" t="s">
        <v>351</v>
      </c>
      <c r="J266" s="25" t="s">
        <v>38</v>
      </c>
      <c r="K266" s="25">
        <v>60</v>
      </c>
      <c r="L266" s="25" t="s">
        <v>39</v>
      </c>
      <c r="M266" s="25" t="s">
        <v>226</v>
      </c>
      <c r="N266" s="23" t="s">
        <v>55</v>
      </c>
      <c r="O266" s="23" t="s">
        <v>59</v>
      </c>
      <c r="P266" s="26" t="s">
        <v>60</v>
      </c>
      <c r="Q266" s="26">
        <v>3</v>
      </c>
      <c r="R266" s="26" t="s">
        <v>240</v>
      </c>
      <c r="S266" s="26">
        <v>300</v>
      </c>
      <c r="T266" s="26">
        <v>600</v>
      </c>
      <c r="U266" s="22" t="s">
        <v>226</v>
      </c>
      <c r="V266" s="23" t="s">
        <v>62</v>
      </c>
      <c r="W266" s="23"/>
      <c r="X266" s="23" t="e">
        <f>IF(COUNTIF(#REF!,_xlfn.TEXTJOIN(".",,C266,F266,H266)),"是","否")</f>
        <v>#REF!</v>
      </c>
      <c r="Y266" s="23" t="e">
        <f t="shared" si="97"/>
        <v>#REF!</v>
      </c>
      <c r="Z266" s="23" t="s">
        <v>55</v>
      </c>
      <c r="AA266" s="23"/>
      <c r="AB266" s="23"/>
      <c r="AC266" s="23"/>
      <c r="AD266" s="23"/>
      <c r="AE266" s="23"/>
      <c r="AF266" s="23"/>
      <c r="AG266" s="23"/>
      <c r="AH266" s="23"/>
      <c r="AI266" s="23"/>
      <c r="AJ266" s="1" t="str">
        <f t="shared" si="98"/>
        <v>SYS.RDS.mariadb_cluster_id.rds073_replication_delay</v>
      </c>
      <c r="AK266" s="1" t="s">
        <v>302</v>
      </c>
      <c r="AL266" s="1"/>
    </row>
    <row r="267" spans="1:38" hidden="1" x14ac:dyDescent="0.25">
      <c r="A267" s="24">
        <f t="shared" si="96"/>
        <v>266</v>
      </c>
      <c r="B267" s="25" t="s">
        <v>975</v>
      </c>
      <c r="C267" s="25" t="s">
        <v>976</v>
      </c>
      <c r="D267" s="25" t="s">
        <v>965</v>
      </c>
      <c r="E267" s="25" t="s">
        <v>984</v>
      </c>
      <c r="F267" s="25" t="s">
        <v>985</v>
      </c>
      <c r="G267" s="25" t="s">
        <v>357</v>
      </c>
      <c r="H267" s="25" t="s">
        <v>358</v>
      </c>
      <c r="I267" s="25" t="s">
        <v>359</v>
      </c>
      <c r="J267" s="25" t="s">
        <v>38</v>
      </c>
      <c r="K267" s="25">
        <v>60</v>
      </c>
      <c r="L267" s="25" t="s">
        <v>39</v>
      </c>
      <c r="M267" s="25" t="s">
        <v>58</v>
      </c>
      <c r="N267" s="23" t="s">
        <v>55</v>
      </c>
      <c r="O267" s="23" t="s">
        <v>59</v>
      </c>
      <c r="P267" s="23" t="s">
        <v>60</v>
      </c>
      <c r="Q267" s="23">
        <v>3</v>
      </c>
      <c r="R267" s="23" t="s">
        <v>240</v>
      </c>
      <c r="S267" s="23">
        <v>80</v>
      </c>
      <c r="T267" s="23">
        <v>95</v>
      </c>
      <c r="U267" s="23" t="s">
        <v>58</v>
      </c>
      <c r="V267" s="23" t="s">
        <v>62</v>
      </c>
      <c r="W267" s="23"/>
      <c r="X267" s="23" t="e">
        <f>IF(COUNTIF(#REF!,_xlfn.TEXTJOIN(".",,C267,F267,H267)),"是","否")</f>
        <v>#REF!</v>
      </c>
      <c r="Y267" s="23" t="e">
        <f t="shared" si="97"/>
        <v>#REF!</v>
      </c>
      <c r="Z267" s="23"/>
      <c r="AA267" s="23"/>
      <c r="AB267" s="23"/>
      <c r="AC267" s="23"/>
      <c r="AD267" s="23"/>
      <c r="AE267" s="23"/>
      <c r="AF267" s="23"/>
      <c r="AG267" s="23"/>
      <c r="AH267" s="23"/>
      <c r="AI267" s="23"/>
      <c r="AJ267" s="1" t="str">
        <f t="shared" si="98"/>
        <v>SYS.RDS.mariadb_cluster_id.rds_conn_active_usage</v>
      </c>
      <c r="AK267" s="1" t="s">
        <v>152</v>
      </c>
      <c r="AL267" s="1"/>
    </row>
    <row r="268" spans="1:38" hidden="1" x14ac:dyDescent="0.25">
      <c r="A268" s="24">
        <f t="shared" si="96"/>
        <v>267</v>
      </c>
      <c r="B268" s="25" t="s">
        <v>975</v>
      </c>
      <c r="C268" s="25" t="s">
        <v>976</v>
      </c>
      <c r="D268" s="25" t="s">
        <v>965</v>
      </c>
      <c r="E268" s="25" t="s">
        <v>986</v>
      </c>
      <c r="F268" s="25" t="s">
        <v>987</v>
      </c>
      <c r="G268" s="25" t="s">
        <v>72</v>
      </c>
      <c r="H268" s="25" t="s">
        <v>107</v>
      </c>
      <c r="I268" s="25" t="s">
        <v>341</v>
      </c>
      <c r="J268" s="25" t="s">
        <v>38</v>
      </c>
      <c r="K268" s="25">
        <v>60</v>
      </c>
      <c r="L268" s="25"/>
      <c r="M268" s="25" t="s">
        <v>58</v>
      </c>
      <c r="N268" s="23" t="s">
        <v>55</v>
      </c>
      <c r="O268" s="23" t="s">
        <v>59</v>
      </c>
      <c r="P268" s="26" t="s">
        <v>60</v>
      </c>
      <c r="Q268" s="26">
        <v>3</v>
      </c>
      <c r="R268" s="26" t="s">
        <v>240</v>
      </c>
      <c r="S268" s="26">
        <v>80</v>
      </c>
      <c r="T268" s="26">
        <v>90</v>
      </c>
      <c r="U268" s="23" t="s">
        <v>58</v>
      </c>
      <c r="V268" s="23" t="s">
        <v>62</v>
      </c>
      <c r="W268" s="23"/>
      <c r="X268" s="23" t="e">
        <f>IF(COUNTIF(#REF!,_xlfn.TEXTJOIN(".",,C268,F268,H268)),"是","否")</f>
        <v>#REF!</v>
      </c>
      <c r="Y268" s="23" t="e">
        <f t="shared" si="97"/>
        <v>#REF!</v>
      </c>
      <c r="Z268" s="23" t="s">
        <v>55</v>
      </c>
      <c r="AA268" s="27" t="s">
        <v>55</v>
      </c>
      <c r="AB268" s="27" t="s">
        <v>60</v>
      </c>
      <c r="AC268" s="27">
        <v>3</v>
      </c>
      <c r="AD268" s="27" t="s">
        <v>61</v>
      </c>
      <c r="AE268" s="27">
        <v>80</v>
      </c>
      <c r="AF268" s="27"/>
      <c r="AG268" s="27"/>
      <c r="AH268" s="27" t="s">
        <v>58</v>
      </c>
      <c r="AI268" s="27" t="s">
        <v>62</v>
      </c>
      <c r="AJ268" s="1" t="str">
        <f t="shared" si="98"/>
        <v>SYS.RDS.postgresql_cluster_id.rds001_cpu_util</v>
      </c>
      <c r="AK268" s="1" t="s">
        <v>152</v>
      </c>
      <c r="AL268" s="1"/>
    </row>
    <row r="269" spans="1:38" hidden="1" x14ac:dyDescent="0.25">
      <c r="A269" s="24">
        <f t="shared" ref="A269:A273" si="99">ROW()-1</f>
        <v>268</v>
      </c>
      <c r="B269" s="25" t="s">
        <v>975</v>
      </c>
      <c r="C269" s="25" t="s">
        <v>976</v>
      </c>
      <c r="D269" s="25" t="s">
        <v>965</v>
      </c>
      <c r="E269" s="25" t="s">
        <v>986</v>
      </c>
      <c r="F269" s="25" t="s">
        <v>987</v>
      </c>
      <c r="G269" s="25" t="s">
        <v>76</v>
      </c>
      <c r="H269" s="25" t="s">
        <v>109</v>
      </c>
      <c r="I269" s="25" t="s">
        <v>78</v>
      </c>
      <c r="J269" s="25" t="s">
        <v>38</v>
      </c>
      <c r="K269" s="25">
        <v>60</v>
      </c>
      <c r="L269" s="25"/>
      <c r="M269" s="25" t="s">
        <v>58</v>
      </c>
      <c r="N269" s="23" t="s">
        <v>55</v>
      </c>
      <c r="O269" s="23" t="s">
        <v>59</v>
      </c>
      <c r="P269" s="26" t="s">
        <v>60</v>
      </c>
      <c r="Q269" s="26">
        <v>3</v>
      </c>
      <c r="R269" s="26" t="s">
        <v>240</v>
      </c>
      <c r="S269" s="26">
        <v>90</v>
      </c>
      <c r="T269" s="26">
        <v>95</v>
      </c>
      <c r="U269" s="23" t="s">
        <v>58</v>
      </c>
      <c r="V269" s="23" t="s">
        <v>62</v>
      </c>
      <c r="W269" s="23"/>
      <c r="X269" s="23" t="e">
        <f>IF(COUNTIF(#REF!,_xlfn.TEXTJOIN(".",,C269,F269,H269)),"是","否")</f>
        <v>#REF!</v>
      </c>
      <c r="Y269" s="23" t="e">
        <f t="shared" ref="Y269:Y273" si="100">IF(AND(O269="底线指标",X269="是"),"是","否")</f>
        <v>#REF!</v>
      </c>
      <c r="Z269" s="23" t="s">
        <v>55</v>
      </c>
      <c r="AA269" s="27" t="s">
        <v>55</v>
      </c>
      <c r="AB269" s="27" t="s">
        <v>60</v>
      </c>
      <c r="AC269" s="27">
        <v>3</v>
      </c>
      <c r="AD269" s="27" t="s">
        <v>61</v>
      </c>
      <c r="AE269" s="27">
        <v>90</v>
      </c>
      <c r="AF269" s="27"/>
      <c r="AG269" s="27"/>
      <c r="AH269" s="27" t="s">
        <v>58</v>
      </c>
      <c r="AI269" s="27" t="s">
        <v>62</v>
      </c>
      <c r="AJ269" s="1" t="str">
        <f t="shared" ref="AJ269:AJ273" si="101">_xlfn.TEXTJOIN(".",TRUE,C269,F269,H269)</f>
        <v>SYS.RDS.postgresql_cluster_id.rds002_mem_util</v>
      </c>
      <c r="AK269" s="1" t="s">
        <v>152</v>
      </c>
      <c r="AL269" s="1"/>
    </row>
    <row r="270" spans="1:38" hidden="1" x14ac:dyDescent="0.25">
      <c r="A270" s="24">
        <f t="shared" si="99"/>
        <v>269</v>
      </c>
      <c r="B270" s="25" t="s">
        <v>975</v>
      </c>
      <c r="C270" s="25" t="s">
        <v>976</v>
      </c>
      <c r="D270" s="25" t="s">
        <v>965</v>
      </c>
      <c r="E270" s="25" t="s">
        <v>986</v>
      </c>
      <c r="F270" s="25" t="s">
        <v>987</v>
      </c>
      <c r="G270" s="25" t="s">
        <v>988</v>
      </c>
      <c r="H270" s="25" t="s">
        <v>989</v>
      </c>
      <c r="I270" s="25" t="s">
        <v>990</v>
      </c>
      <c r="J270" s="25" t="s">
        <v>38</v>
      </c>
      <c r="K270" s="25">
        <v>60</v>
      </c>
      <c r="L270" s="25" t="s">
        <v>45</v>
      </c>
      <c r="M270" s="25" t="s">
        <v>43</v>
      </c>
      <c r="N270" s="23" t="s">
        <v>55</v>
      </c>
      <c r="O270" s="23" t="s">
        <v>59</v>
      </c>
      <c r="P270" s="23" t="s">
        <v>60</v>
      </c>
      <c r="Q270" s="23">
        <v>3</v>
      </c>
      <c r="R270" s="23" t="s">
        <v>136</v>
      </c>
      <c r="S270" s="23"/>
      <c r="T270" s="23">
        <v>0</v>
      </c>
      <c r="U270" s="23" t="s">
        <v>43</v>
      </c>
      <c r="V270" s="23" t="s">
        <v>62</v>
      </c>
      <c r="W270" s="23"/>
      <c r="X270" s="23" t="e">
        <f>IF(COUNTIF(#REF!,_xlfn.TEXTJOIN(".",,C270,F270,H270)),"是","否")</f>
        <v>#REF!</v>
      </c>
      <c r="Y270" s="23" t="e">
        <f t="shared" si="100"/>
        <v>#REF!</v>
      </c>
      <c r="Z270" s="23" t="s">
        <v>55</v>
      </c>
      <c r="AA270" s="23"/>
      <c r="AB270" s="23"/>
      <c r="AC270" s="23"/>
      <c r="AD270" s="23"/>
      <c r="AE270" s="23"/>
      <c r="AF270" s="23"/>
      <c r="AG270" s="23"/>
      <c r="AH270" s="23"/>
      <c r="AI270" s="23"/>
      <c r="AJ270" s="1" t="str">
        <f t="shared" si="101"/>
        <v>SYS.RDS.postgresql_cluster_id.slave_replication_status</v>
      </c>
      <c r="AK270" s="1" t="s">
        <v>302</v>
      </c>
      <c r="AL270" s="1"/>
    </row>
    <row r="271" spans="1:38" hidden="1" x14ac:dyDescent="0.25">
      <c r="A271" s="24">
        <f t="shared" si="99"/>
        <v>270</v>
      </c>
      <c r="B271" s="25" t="s">
        <v>975</v>
      </c>
      <c r="C271" s="25" t="s">
        <v>976</v>
      </c>
      <c r="D271" s="25" t="s">
        <v>965</v>
      </c>
      <c r="E271" s="25" t="s">
        <v>986</v>
      </c>
      <c r="F271" s="25" t="s">
        <v>987</v>
      </c>
      <c r="G271" s="25" t="s">
        <v>344</v>
      </c>
      <c r="H271" s="25" t="s">
        <v>345</v>
      </c>
      <c r="I271" s="25" t="s">
        <v>81</v>
      </c>
      <c r="J271" s="25" t="s">
        <v>38</v>
      </c>
      <c r="K271" s="25">
        <v>60</v>
      </c>
      <c r="L271" s="25"/>
      <c r="M271" s="25" t="s">
        <v>58</v>
      </c>
      <c r="N271" s="23" t="s">
        <v>55</v>
      </c>
      <c r="O271" s="23" t="s">
        <v>59</v>
      </c>
      <c r="P271" s="26" t="s">
        <v>60</v>
      </c>
      <c r="Q271" s="26">
        <v>3</v>
      </c>
      <c r="R271" s="26" t="s">
        <v>240</v>
      </c>
      <c r="S271" s="26">
        <v>80</v>
      </c>
      <c r="T271" s="26">
        <v>95</v>
      </c>
      <c r="U271" s="23" t="s">
        <v>58</v>
      </c>
      <c r="V271" s="23" t="s">
        <v>62</v>
      </c>
      <c r="W271" s="23"/>
      <c r="X271" s="23" t="e">
        <f>IF(COUNTIF(#REF!,_xlfn.TEXTJOIN(".",,C271,F271,H271)),"是","否")</f>
        <v>#REF!</v>
      </c>
      <c r="Y271" s="23" t="e">
        <f t="shared" si="100"/>
        <v>#REF!</v>
      </c>
      <c r="Z271" s="23" t="s">
        <v>55</v>
      </c>
      <c r="AA271" s="27" t="s">
        <v>55</v>
      </c>
      <c r="AB271" s="27" t="s">
        <v>60</v>
      </c>
      <c r="AC271" s="27">
        <v>3</v>
      </c>
      <c r="AD271" s="27" t="s">
        <v>61</v>
      </c>
      <c r="AE271" s="27">
        <v>80</v>
      </c>
      <c r="AF271" s="27"/>
      <c r="AG271" s="27"/>
      <c r="AH271" s="27" t="s">
        <v>58</v>
      </c>
      <c r="AI271" s="27" t="s">
        <v>62</v>
      </c>
      <c r="AJ271" s="1" t="str">
        <f t="shared" si="101"/>
        <v>SYS.RDS.postgresql_cluster_id.rds039_disk_util</v>
      </c>
      <c r="AK271" s="1" t="s">
        <v>152</v>
      </c>
      <c r="AL271" s="1"/>
    </row>
    <row r="272" spans="1:38" hidden="1" x14ac:dyDescent="0.25">
      <c r="A272" s="24">
        <f t="shared" si="99"/>
        <v>271</v>
      </c>
      <c r="B272" s="25" t="s">
        <v>975</v>
      </c>
      <c r="C272" s="25" t="s">
        <v>976</v>
      </c>
      <c r="D272" s="25" t="s">
        <v>965</v>
      </c>
      <c r="E272" s="25" t="s">
        <v>986</v>
      </c>
      <c r="F272" s="25" t="s">
        <v>987</v>
      </c>
      <c r="G272" s="25" t="s">
        <v>991</v>
      </c>
      <c r="H272" s="25" t="s">
        <v>992</v>
      </c>
      <c r="I272" s="25" t="s">
        <v>993</v>
      </c>
      <c r="J272" s="25" t="s">
        <v>38</v>
      </c>
      <c r="K272" s="25">
        <v>60</v>
      </c>
      <c r="L272" s="25"/>
      <c r="M272" s="25" t="s">
        <v>139</v>
      </c>
      <c r="N272" s="23" t="s">
        <v>55</v>
      </c>
      <c r="O272" s="23" t="s">
        <v>59</v>
      </c>
      <c r="P272" s="26" t="s">
        <v>60</v>
      </c>
      <c r="Q272" s="26">
        <v>3</v>
      </c>
      <c r="R272" s="26" t="s">
        <v>240</v>
      </c>
      <c r="S272" s="26">
        <v>300000</v>
      </c>
      <c r="T272" s="26">
        <v>600000</v>
      </c>
      <c r="U272" s="22" t="s">
        <v>139</v>
      </c>
      <c r="V272" s="23" t="s">
        <v>62</v>
      </c>
      <c r="W272" s="23"/>
      <c r="X272" s="23" t="e">
        <f>IF(COUNTIF(#REF!,_xlfn.TEXTJOIN(".",,C272,F272,H272)),"是","否")</f>
        <v>#REF!</v>
      </c>
      <c r="Y272" s="23" t="e">
        <f t="shared" si="100"/>
        <v>#REF!</v>
      </c>
      <c r="Z272" s="23" t="s">
        <v>55</v>
      </c>
      <c r="AA272" s="27" t="s">
        <v>55</v>
      </c>
      <c r="AB272" s="27" t="s">
        <v>60</v>
      </c>
      <c r="AC272" s="27">
        <v>3</v>
      </c>
      <c r="AD272" s="27" t="s">
        <v>61</v>
      </c>
      <c r="AE272" s="27">
        <v>600000</v>
      </c>
      <c r="AF272" s="27"/>
      <c r="AG272" s="27"/>
      <c r="AH272" s="27" t="s">
        <v>44</v>
      </c>
      <c r="AI272" s="27" t="s">
        <v>62</v>
      </c>
      <c r="AJ272" s="1" t="str">
        <f t="shared" si="101"/>
        <v>SYS.RDS.postgresql_cluster_id.rds046_replication_lag</v>
      </c>
      <c r="AK272" s="1" t="s">
        <v>302</v>
      </c>
      <c r="AL272" s="1"/>
    </row>
    <row r="273" spans="1:38" hidden="1" x14ac:dyDescent="0.25">
      <c r="A273" s="24">
        <f t="shared" si="99"/>
        <v>272</v>
      </c>
      <c r="B273" s="25" t="s">
        <v>975</v>
      </c>
      <c r="C273" s="25" t="s">
        <v>976</v>
      </c>
      <c r="D273" s="25" t="s">
        <v>965</v>
      </c>
      <c r="E273" s="25" t="s">
        <v>986</v>
      </c>
      <c r="F273" s="25" t="s">
        <v>987</v>
      </c>
      <c r="G273" s="25" t="s">
        <v>174</v>
      </c>
      <c r="H273" s="25" t="s">
        <v>994</v>
      </c>
      <c r="I273" s="25" t="s">
        <v>995</v>
      </c>
      <c r="J273" s="25" t="s">
        <v>38</v>
      </c>
      <c r="K273" s="25">
        <v>60</v>
      </c>
      <c r="L273" s="25"/>
      <c r="M273" s="25" t="s">
        <v>342</v>
      </c>
      <c r="N273" s="23" t="s">
        <v>55</v>
      </c>
      <c r="O273" s="23" t="s">
        <v>59</v>
      </c>
      <c r="P273" s="26" t="s">
        <v>60</v>
      </c>
      <c r="Q273" s="26">
        <v>3</v>
      </c>
      <c r="R273" s="26" t="s">
        <v>240</v>
      </c>
      <c r="S273" s="26">
        <v>80</v>
      </c>
      <c r="T273" s="26">
        <v>90</v>
      </c>
      <c r="U273" s="22" t="s">
        <v>342</v>
      </c>
      <c r="V273" s="23" t="s">
        <v>62</v>
      </c>
      <c r="W273" s="23"/>
      <c r="X273" s="23" t="e">
        <f>IF(COUNTIF(#REF!,_xlfn.TEXTJOIN(".",,C273,F273,H273)),"是","否")</f>
        <v>#REF!</v>
      </c>
      <c r="Y273" s="23" t="e">
        <f t="shared" si="100"/>
        <v>#REF!</v>
      </c>
      <c r="Z273" s="23" t="s">
        <v>55</v>
      </c>
      <c r="AA273" s="27" t="s">
        <v>55</v>
      </c>
      <c r="AB273" s="27" t="s">
        <v>60</v>
      </c>
      <c r="AC273" s="27">
        <v>3</v>
      </c>
      <c r="AD273" s="27" t="s">
        <v>61</v>
      </c>
      <c r="AE273" s="27">
        <v>80</v>
      </c>
      <c r="AF273" s="27"/>
      <c r="AG273" s="27"/>
      <c r="AH273" s="27" t="s">
        <v>58</v>
      </c>
      <c r="AI273" s="27" t="s">
        <v>62</v>
      </c>
      <c r="AJ273" s="1" t="str">
        <f t="shared" si="101"/>
        <v>SYS.RDS.postgresql_cluster_id.rds083_conn_usage</v>
      </c>
      <c r="AK273" s="1" t="s">
        <v>152</v>
      </c>
      <c r="AL273" s="1"/>
    </row>
    <row r="274" spans="1:38" hidden="1" x14ac:dyDescent="0.25">
      <c r="A274" s="24">
        <f t="shared" ref="A274:A279" si="102">ROW()-1</f>
        <v>273</v>
      </c>
      <c r="B274" s="25" t="s">
        <v>975</v>
      </c>
      <c r="C274" s="25" t="s">
        <v>976</v>
      </c>
      <c r="D274" s="25" t="s">
        <v>965</v>
      </c>
      <c r="E274" s="25" t="s">
        <v>996</v>
      </c>
      <c r="F274" s="25" t="s">
        <v>997</v>
      </c>
      <c r="G274" s="25" t="s">
        <v>72</v>
      </c>
      <c r="H274" s="25" t="s">
        <v>107</v>
      </c>
      <c r="I274" s="25" t="s">
        <v>341</v>
      </c>
      <c r="J274" s="25" t="s">
        <v>38</v>
      </c>
      <c r="K274" s="25">
        <v>60</v>
      </c>
      <c r="L274" s="25"/>
      <c r="M274" s="25" t="s">
        <v>58</v>
      </c>
      <c r="N274" s="23" t="s">
        <v>55</v>
      </c>
      <c r="O274" s="23" t="s">
        <v>59</v>
      </c>
      <c r="P274" s="26" t="s">
        <v>60</v>
      </c>
      <c r="Q274" s="26">
        <v>3</v>
      </c>
      <c r="R274" s="26" t="s">
        <v>240</v>
      </c>
      <c r="S274" s="26">
        <v>80</v>
      </c>
      <c r="T274" s="26">
        <v>90</v>
      </c>
      <c r="U274" s="23" t="s">
        <v>58</v>
      </c>
      <c r="V274" s="23" t="s">
        <v>62</v>
      </c>
      <c r="W274" s="23"/>
      <c r="X274" s="23" t="e">
        <f>IF(COUNTIF(#REF!,_xlfn.TEXTJOIN(".",,C274,F274,H274)),"是","否")</f>
        <v>#REF!</v>
      </c>
      <c r="Y274" s="23" t="e">
        <f t="shared" ref="Y274:Y279" si="103">IF(AND(O274="底线指标",X274="是"),"是","否")</f>
        <v>#REF!</v>
      </c>
      <c r="Z274" s="23" t="s">
        <v>55</v>
      </c>
      <c r="AA274" s="27" t="s">
        <v>55</v>
      </c>
      <c r="AB274" s="27" t="s">
        <v>60</v>
      </c>
      <c r="AC274" s="27">
        <v>3</v>
      </c>
      <c r="AD274" s="27" t="s">
        <v>61</v>
      </c>
      <c r="AE274" s="27">
        <v>80</v>
      </c>
      <c r="AF274" s="27"/>
      <c r="AG274" s="27"/>
      <c r="AH274" s="27" t="s">
        <v>58</v>
      </c>
      <c r="AI274" s="27" t="s">
        <v>62</v>
      </c>
      <c r="AJ274" s="1" t="str">
        <f t="shared" ref="AJ274:AJ279" si="104">_xlfn.TEXTJOIN(".",TRUE,C274,F274,H274)</f>
        <v>SYS.RDS.rds_cluster_id.rds001_cpu_util</v>
      </c>
      <c r="AK274" s="1" t="s">
        <v>152</v>
      </c>
      <c r="AL274" s="1"/>
    </row>
    <row r="275" spans="1:38" hidden="1" x14ac:dyDescent="0.25">
      <c r="A275" s="24">
        <f t="shared" si="102"/>
        <v>274</v>
      </c>
      <c r="B275" s="25" t="s">
        <v>975</v>
      </c>
      <c r="C275" s="25" t="s">
        <v>976</v>
      </c>
      <c r="D275" s="25" t="s">
        <v>965</v>
      </c>
      <c r="E275" s="25" t="s">
        <v>996</v>
      </c>
      <c r="F275" s="25" t="s">
        <v>997</v>
      </c>
      <c r="G275" s="25" t="s">
        <v>76</v>
      </c>
      <c r="H275" s="25" t="s">
        <v>109</v>
      </c>
      <c r="I275" s="25" t="s">
        <v>78</v>
      </c>
      <c r="J275" s="25" t="s">
        <v>38</v>
      </c>
      <c r="K275" s="25">
        <v>60</v>
      </c>
      <c r="L275" s="25"/>
      <c r="M275" s="25" t="s">
        <v>58</v>
      </c>
      <c r="N275" s="23" t="s">
        <v>55</v>
      </c>
      <c r="O275" s="23" t="s">
        <v>59</v>
      </c>
      <c r="P275" s="26" t="s">
        <v>60</v>
      </c>
      <c r="Q275" s="26">
        <v>3</v>
      </c>
      <c r="R275" s="26" t="s">
        <v>240</v>
      </c>
      <c r="S275" s="26">
        <v>90</v>
      </c>
      <c r="T275" s="26">
        <v>95</v>
      </c>
      <c r="U275" s="23" t="s">
        <v>58</v>
      </c>
      <c r="V275" s="23" t="s">
        <v>62</v>
      </c>
      <c r="W275" s="23"/>
      <c r="X275" s="23" t="e">
        <f>IF(COUNTIF(#REF!,_xlfn.TEXTJOIN(".",,C275,F275,H275)),"是","否")</f>
        <v>#REF!</v>
      </c>
      <c r="Y275" s="23" t="e">
        <f t="shared" si="103"/>
        <v>#REF!</v>
      </c>
      <c r="Z275" s="23" t="s">
        <v>55</v>
      </c>
      <c r="AA275" s="27" t="s">
        <v>55</v>
      </c>
      <c r="AB275" s="27" t="s">
        <v>60</v>
      </c>
      <c r="AC275" s="27">
        <v>3</v>
      </c>
      <c r="AD275" s="27" t="s">
        <v>61</v>
      </c>
      <c r="AE275" s="27">
        <v>90</v>
      </c>
      <c r="AF275" s="27"/>
      <c r="AG275" s="27"/>
      <c r="AH275" s="27" t="s">
        <v>58</v>
      </c>
      <c r="AI275" s="27" t="s">
        <v>62</v>
      </c>
      <c r="AJ275" s="1" t="str">
        <f t="shared" si="104"/>
        <v>SYS.RDS.rds_cluster_id.rds002_mem_util</v>
      </c>
      <c r="AK275" s="1" t="s">
        <v>152</v>
      </c>
      <c r="AL275" s="1"/>
    </row>
    <row r="276" spans="1:38" hidden="1" x14ac:dyDescent="0.25">
      <c r="A276" s="24">
        <f t="shared" si="102"/>
        <v>275</v>
      </c>
      <c r="B276" s="25" t="s">
        <v>975</v>
      </c>
      <c r="C276" s="25" t="s">
        <v>976</v>
      </c>
      <c r="D276" s="25" t="s">
        <v>965</v>
      </c>
      <c r="E276" s="25" t="s">
        <v>996</v>
      </c>
      <c r="F276" s="25" t="s">
        <v>997</v>
      </c>
      <c r="G276" s="25" t="s">
        <v>344</v>
      </c>
      <c r="H276" s="25" t="s">
        <v>345</v>
      </c>
      <c r="I276" s="25" t="s">
        <v>81</v>
      </c>
      <c r="J276" s="25" t="s">
        <v>38</v>
      </c>
      <c r="K276" s="25">
        <v>60</v>
      </c>
      <c r="L276" s="25"/>
      <c r="M276" s="25" t="s">
        <v>58</v>
      </c>
      <c r="N276" s="23" t="s">
        <v>55</v>
      </c>
      <c r="O276" s="23" t="s">
        <v>59</v>
      </c>
      <c r="P276" s="26" t="s">
        <v>60</v>
      </c>
      <c r="Q276" s="26">
        <v>3</v>
      </c>
      <c r="R276" s="26" t="s">
        <v>240</v>
      </c>
      <c r="S276" s="26">
        <v>80</v>
      </c>
      <c r="T276" s="26">
        <v>95</v>
      </c>
      <c r="U276" s="23" t="s">
        <v>58</v>
      </c>
      <c r="V276" s="23" t="s">
        <v>62</v>
      </c>
      <c r="W276" s="23"/>
      <c r="X276" s="23" t="e">
        <f>IF(COUNTIF(#REF!,_xlfn.TEXTJOIN(".",,C276,F276,H276)),"是","否")</f>
        <v>#REF!</v>
      </c>
      <c r="Y276" s="23" t="e">
        <f t="shared" si="103"/>
        <v>#REF!</v>
      </c>
      <c r="Z276" s="23" t="s">
        <v>55</v>
      </c>
      <c r="AA276" s="27" t="s">
        <v>55</v>
      </c>
      <c r="AB276" s="27" t="s">
        <v>60</v>
      </c>
      <c r="AC276" s="27">
        <v>3</v>
      </c>
      <c r="AD276" s="27" t="s">
        <v>61</v>
      </c>
      <c r="AE276" s="27">
        <v>80</v>
      </c>
      <c r="AF276" s="27"/>
      <c r="AG276" s="27"/>
      <c r="AH276" s="27" t="s">
        <v>58</v>
      </c>
      <c r="AI276" s="27" t="s">
        <v>62</v>
      </c>
      <c r="AJ276" s="1" t="str">
        <f t="shared" si="104"/>
        <v>SYS.RDS.rds_cluster_id.rds039_disk_util</v>
      </c>
      <c r="AK276" s="1" t="s">
        <v>152</v>
      </c>
      <c r="AL276" s="1"/>
    </row>
    <row r="277" spans="1:38" hidden="1" x14ac:dyDescent="0.25">
      <c r="A277" s="24">
        <f t="shared" si="102"/>
        <v>276</v>
      </c>
      <c r="B277" s="25" t="s">
        <v>975</v>
      </c>
      <c r="C277" s="25" t="s">
        <v>976</v>
      </c>
      <c r="D277" s="25" t="s">
        <v>965</v>
      </c>
      <c r="E277" s="25" t="s">
        <v>996</v>
      </c>
      <c r="F277" s="25" t="s">
        <v>997</v>
      </c>
      <c r="G277" s="25" t="s">
        <v>174</v>
      </c>
      <c r="H277" s="25" t="s">
        <v>348</v>
      </c>
      <c r="I277" s="25" t="s">
        <v>982</v>
      </c>
      <c r="J277" s="25" t="s">
        <v>38</v>
      </c>
      <c r="K277" s="25">
        <v>60</v>
      </c>
      <c r="L277" s="25"/>
      <c r="M277" s="25" t="s">
        <v>58</v>
      </c>
      <c r="N277" s="23" t="s">
        <v>55</v>
      </c>
      <c r="O277" s="23" t="s">
        <v>59</v>
      </c>
      <c r="P277" s="26" t="s">
        <v>60</v>
      </c>
      <c r="Q277" s="26">
        <v>3</v>
      </c>
      <c r="R277" s="26" t="s">
        <v>240</v>
      </c>
      <c r="S277" s="26">
        <v>80</v>
      </c>
      <c r="T277" s="26">
        <v>90</v>
      </c>
      <c r="U277" s="23" t="s">
        <v>58</v>
      </c>
      <c r="V277" s="23" t="s">
        <v>62</v>
      </c>
      <c r="W277" s="23"/>
      <c r="X277" s="23" t="e">
        <f>IF(COUNTIF(#REF!,_xlfn.TEXTJOIN(".",,C277,F277,H277)),"是","否")</f>
        <v>#REF!</v>
      </c>
      <c r="Y277" s="23" t="e">
        <f t="shared" si="103"/>
        <v>#REF!</v>
      </c>
      <c r="Z277" s="23" t="s">
        <v>55</v>
      </c>
      <c r="AA277" s="27" t="s">
        <v>55</v>
      </c>
      <c r="AB277" s="27" t="s">
        <v>60</v>
      </c>
      <c r="AC277" s="27">
        <v>3</v>
      </c>
      <c r="AD277" s="27" t="s">
        <v>61</v>
      </c>
      <c r="AE277" s="27">
        <v>80</v>
      </c>
      <c r="AF277" s="27"/>
      <c r="AG277" s="27"/>
      <c r="AH277" s="27" t="s">
        <v>58</v>
      </c>
      <c r="AI277" s="27" t="s">
        <v>62</v>
      </c>
      <c r="AJ277" s="1" t="str">
        <f t="shared" si="104"/>
        <v>SYS.RDS.rds_cluster_id.rds072_conn_usage</v>
      </c>
      <c r="AK277" s="1" t="s">
        <v>152</v>
      </c>
      <c r="AL277" s="1"/>
    </row>
    <row r="278" spans="1:38" hidden="1" x14ac:dyDescent="0.25">
      <c r="A278" s="24">
        <f t="shared" si="102"/>
        <v>277</v>
      </c>
      <c r="B278" s="25" t="s">
        <v>975</v>
      </c>
      <c r="C278" s="25" t="s">
        <v>976</v>
      </c>
      <c r="D278" s="25" t="s">
        <v>965</v>
      </c>
      <c r="E278" s="25" t="s">
        <v>996</v>
      </c>
      <c r="F278" s="25" t="s">
        <v>997</v>
      </c>
      <c r="G278" s="25" t="s">
        <v>349</v>
      </c>
      <c r="H278" s="25" t="s">
        <v>350</v>
      </c>
      <c r="I278" s="25" t="s">
        <v>351</v>
      </c>
      <c r="J278" s="25" t="s">
        <v>38</v>
      </c>
      <c r="K278" s="25">
        <v>60</v>
      </c>
      <c r="L278" s="25"/>
      <c r="M278" s="25" t="s">
        <v>226</v>
      </c>
      <c r="N278" s="23" t="s">
        <v>55</v>
      </c>
      <c r="O278" s="23" t="s">
        <v>59</v>
      </c>
      <c r="P278" s="26" t="s">
        <v>60</v>
      </c>
      <c r="Q278" s="26">
        <v>3</v>
      </c>
      <c r="R278" s="26" t="s">
        <v>240</v>
      </c>
      <c r="S278" s="26">
        <v>300</v>
      </c>
      <c r="T278" s="26">
        <v>600</v>
      </c>
      <c r="U278" s="22" t="s">
        <v>226</v>
      </c>
      <c r="V278" s="23" t="s">
        <v>62</v>
      </c>
      <c r="W278" s="23"/>
      <c r="X278" s="23" t="e">
        <f>IF(COUNTIF(#REF!,_xlfn.TEXTJOIN(".",,C278,F278,H278)),"是","否")</f>
        <v>#REF!</v>
      </c>
      <c r="Y278" s="23" t="e">
        <f t="shared" si="103"/>
        <v>#REF!</v>
      </c>
      <c r="Z278" s="23" t="s">
        <v>55</v>
      </c>
      <c r="AA278" s="27" t="s">
        <v>55</v>
      </c>
      <c r="AB278" s="27" t="s">
        <v>60</v>
      </c>
      <c r="AC278" s="27">
        <v>3</v>
      </c>
      <c r="AD278" s="27" t="s">
        <v>61</v>
      </c>
      <c r="AE278" s="27">
        <v>600000</v>
      </c>
      <c r="AF278" s="27"/>
      <c r="AG278" s="27" t="s">
        <v>370</v>
      </c>
      <c r="AH278" s="27" t="s">
        <v>44</v>
      </c>
      <c r="AI278" s="27" t="s">
        <v>62</v>
      </c>
      <c r="AJ278" s="1" t="str">
        <f t="shared" si="104"/>
        <v>SYS.RDS.rds_cluster_id.rds073_replication_delay</v>
      </c>
      <c r="AK278" s="1" t="s">
        <v>302</v>
      </c>
      <c r="AL278" s="1"/>
    </row>
    <row r="279" spans="1:38" hidden="1" x14ac:dyDescent="0.25">
      <c r="A279" s="24">
        <f t="shared" si="102"/>
        <v>278</v>
      </c>
      <c r="B279" s="25" t="s">
        <v>975</v>
      </c>
      <c r="C279" s="25" t="s">
        <v>976</v>
      </c>
      <c r="D279" s="25" t="s">
        <v>965</v>
      </c>
      <c r="E279" s="25" t="s">
        <v>996</v>
      </c>
      <c r="F279" s="25" t="s">
        <v>997</v>
      </c>
      <c r="G279" s="25" t="s">
        <v>352</v>
      </c>
      <c r="H279" s="25" t="s">
        <v>353</v>
      </c>
      <c r="I279" s="22" t="s">
        <v>983</v>
      </c>
      <c r="J279" s="22" t="s">
        <v>38</v>
      </c>
      <c r="K279" s="22">
        <v>60</v>
      </c>
      <c r="L279" s="22"/>
      <c r="M279" s="22" t="s">
        <v>354</v>
      </c>
      <c r="N279" s="23" t="s">
        <v>55</v>
      </c>
      <c r="O279" s="23" t="s">
        <v>59</v>
      </c>
      <c r="P279" s="23" t="s">
        <v>60</v>
      </c>
      <c r="Q279" s="23">
        <v>3</v>
      </c>
      <c r="R279" s="23" t="s">
        <v>240</v>
      </c>
      <c r="S279" s="23">
        <v>600</v>
      </c>
      <c r="T279" s="23"/>
      <c r="U279" s="22" t="s">
        <v>457</v>
      </c>
      <c r="V279" s="23" t="s">
        <v>459</v>
      </c>
      <c r="W279" s="23"/>
      <c r="X279" s="23" t="e">
        <f>IF(COUNTIF(#REF!,_xlfn.TEXTJOIN(".",,C279,F279,H279)),"是","否")</f>
        <v>#REF!</v>
      </c>
      <c r="Y279" s="23" t="e">
        <f t="shared" si="103"/>
        <v>#REF!</v>
      </c>
      <c r="Z279" s="23"/>
      <c r="AA279" s="27" t="s">
        <v>55</v>
      </c>
      <c r="AB279" s="27" t="s">
        <v>60</v>
      </c>
      <c r="AC279" s="27">
        <v>3</v>
      </c>
      <c r="AD279" s="27" t="s">
        <v>61</v>
      </c>
      <c r="AE279" s="27">
        <v>100</v>
      </c>
      <c r="AF279" s="27"/>
      <c r="AG279" s="27"/>
      <c r="AH279" s="27" t="s">
        <v>457</v>
      </c>
      <c r="AI279" s="27" t="s">
        <v>62</v>
      </c>
      <c r="AJ279" s="1" t="str">
        <f t="shared" si="104"/>
        <v>SYS.RDS.rds_cluster_id.rds074_slow_queries</v>
      </c>
      <c r="AK279" s="1"/>
      <c r="AL279" s="1"/>
    </row>
    <row r="280" spans="1:38" hidden="1" x14ac:dyDescent="0.25">
      <c r="A280" s="24">
        <f t="shared" ref="A280:A288" si="105">ROW()-1</f>
        <v>279</v>
      </c>
      <c r="B280" s="25" t="s">
        <v>975</v>
      </c>
      <c r="C280" s="25" t="s">
        <v>976</v>
      </c>
      <c r="D280" s="25" t="s">
        <v>965</v>
      </c>
      <c r="E280" s="25" t="s">
        <v>996</v>
      </c>
      <c r="F280" s="25" t="s">
        <v>997</v>
      </c>
      <c r="G280" s="25" t="s">
        <v>357</v>
      </c>
      <c r="H280" s="25" t="s">
        <v>358</v>
      </c>
      <c r="I280" s="25" t="s">
        <v>359</v>
      </c>
      <c r="J280" s="25" t="s">
        <v>38</v>
      </c>
      <c r="K280" s="25">
        <v>60</v>
      </c>
      <c r="L280" s="25" t="s">
        <v>39</v>
      </c>
      <c r="M280" s="25" t="s">
        <v>58</v>
      </c>
      <c r="N280" s="23" t="s">
        <v>55</v>
      </c>
      <c r="O280" s="23" t="s">
        <v>59</v>
      </c>
      <c r="P280" s="23" t="s">
        <v>60</v>
      </c>
      <c r="Q280" s="23">
        <v>3</v>
      </c>
      <c r="R280" s="23" t="s">
        <v>240</v>
      </c>
      <c r="S280" s="23">
        <v>80</v>
      </c>
      <c r="T280" s="23">
        <v>95</v>
      </c>
      <c r="U280" s="23" t="s">
        <v>58</v>
      </c>
      <c r="V280" s="23" t="s">
        <v>62</v>
      </c>
      <c r="W280" s="23"/>
      <c r="X280" s="23" t="e">
        <f>IF(COUNTIF(#REF!,_xlfn.TEXTJOIN(".",,C280,F280,H280)),"是","否")</f>
        <v>#REF!</v>
      </c>
      <c r="Y280" s="23" t="e">
        <f t="shared" ref="Y280:Y288" si="106">IF(AND(O280="底线指标",X280="是"),"是","否")</f>
        <v>#REF!</v>
      </c>
      <c r="Z280" s="23"/>
      <c r="AA280" s="23"/>
      <c r="AB280" s="23"/>
      <c r="AC280" s="23"/>
      <c r="AD280" s="23"/>
      <c r="AE280" s="23"/>
      <c r="AF280" s="23"/>
      <c r="AG280" s="23"/>
      <c r="AH280" s="23"/>
      <c r="AI280" s="23"/>
      <c r="AJ280" s="1" t="str">
        <f t="shared" ref="AJ280:AJ288" si="107">_xlfn.TEXTJOIN(".",TRUE,C280,F280,H280)</f>
        <v>SYS.RDS.rds_cluster_id.rds_conn_active_usage</v>
      </c>
      <c r="AK280" s="1" t="s">
        <v>152</v>
      </c>
      <c r="AL280" s="1"/>
    </row>
    <row r="281" spans="1:38" hidden="1" x14ac:dyDescent="0.25">
      <c r="A281" s="24">
        <f t="shared" si="105"/>
        <v>280</v>
      </c>
      <c r="B281" s="25" t="s">
        <v>999</v>
      </c>
      <c r="C281" s="25" t="s">
        <v>1000</v>
      </c>
      <c r="D281" s="25" t="s">
        <v>1001</v>
      </c>
      <c r="E281" s="25" t="s">
        <v>999</v>
      </c>
      <c r="F281" s="25" t="s">
        <v>1002</v>
      </c>
      <c r="G281" s="25" t="s">
        <v>1003</v>
      </c>
      <c r="H281" s="25" t="s">
        <v>1004</v>
      </c>
      <c r="I281" s="22" t="s">
        <v>1005</v>
      </c>
      <c r="J281" s="22" t="s">
        <v>38</v>
      </c>
      <c r="K281" s="22">
        <v>300</v>
      </c>
      <c r="L281" s="22" t="s">
        <v>45</v>
      </c>
      <c r="M281" s="22"/>
      <c r="N281" s="23" t="s">
        <v>55</v>
      </c>
      <c r="O281" s="23" t="s">
        <v>59</v>
      </c>
      <c r="P281" s="23" t="s">
        <v>60</v>
      </c>
      <c r="Q281" s="23">
        <v>2</v>
      </c>
      <c r="R281" s="23" t="s">
        <v>136</v>
      </c>
      <c r="S281" s="23"/>
      <c r="T281" s="23">
        <v>0</v>
      </c>
      <c r="U281" s="23"/>
      <c r="V281" s="23" t="s">
        <v>62</v>
      </c>
      <c r="W281" s="23"/>
      <c r="X281" s="23" t="e">
        <f>IF(COUNTIF(#REF!,_xlfn.TEXTJOIN(".",,C281,F281,H281)),"是","否")</f>
        <v>#REF!</v>
      </c>
      <c r="Y281" s="23" t="e">
        <f t="shared" si="106"/>
        <v>#REF!</v>
      </c>
      <c r="Z281" s="23"/>
      <c r="AA281" s="27" t="s">
        <v>55</v>
      </c>
      <c r="AB281" s="27" t="s">
        <v>60</v>
      </c>
      <c r="AC281" s="27">
        <v>2</v>
      </c>
      <c r="AD281" s="27" t="s">
        <v>136</v>
      </c>
      <c r="AE281" s="27"/>
      <c r="AF281" s="27">
        <v>0</v>
      </c>
      <c r="AG281" s="27"/>
      <c r="AH281" s="27"/>
      <c r="AI281" s="27" t="s">
        <v>1006</v>
      </c>
      <c r="AJ281" s="1" t="str">
        <f t="shared" si="107"/>
        <v>SYS.DWS.datastore_id.dws_029_dws_cluster_status</v>
      </c>
      <c r="AK281" s="1"/>
      <c r="AL281" s="1"/>
    </row>
    <row r="282" spans="1:38" hidden="1" x14ac:dyDescent="0.25">
      <c r="A282" s="24">
        <f t="shared" si="105"/>
        <v>281</v>
      </c>
      <c r="B282" s="25" t="s">
        <v>999</v>
      </c>
      <c r="C282" s="25" t="s">
        <v>1000</v>
      </c>
      <c r="D282" s="25" t="s">
        <v>1001</v>
      </c>
      <c r="E282" s="25" t="s">
        <v>1007</v>
      </c>
      <c r="F282" s="25" t="s">
        <v>1008</v>
      </c>
      <c r="G282" s="25" t="s">
        <v>72</v>
      </c>
      <c r="H282" s="25" t="s">
        <v>1009</v>
      </c>
      <c r="I282" s="25" t="s">
        <v>1010</v>
      </c>
      <c r="J282" s="25" t="s">
        <v>38</v>
      </c>
      <c r="K282" s="25">
        <v>60</v>
      </c>
      <c r="L282" s="25"/>
      <c r="M282" s="25" t="s">
        <v>58</v>
      </c>
      <c r="N282" s="23" t="s">
        <v>55</v>
      </c>
      <c r="O282" s="23" t="s">
        <v>59</v>
      </c>
      <c r="P282" s="23" t="s">
        <v>60</v>
      </c>
      <c r="Q282" s="23">
        <v>3</v>
      </c>
      <c r="R282" s="23" t="s">
        <v>61</v>
      </c>
      <c r="S282" s="23">
        <v>85</v>
      </c>
      <c r="T282" s="23">
        <v>90</v>
      </c>
      <c r="U282" s="23" t="s">
        <v>58</v>
      </c>
      <c r="V282" s="23" t="s">
        <v>459</v>
      </c>
      <c r="W282" s="23"/>
      <c r="X282" s="23" t="e">
        <f>IF(COUNTIF(#REF!,_xlfn.TEXTJOIN(".",,C282,F282,H282)),"是","否")</f>
        <v>#REF!</v>
      </c>
      <c r="Y282" s="23" t="e">
        <f t="shared" si="106"/>
        <v>#REF!</v>
      </c>
      <c r="Z282" s="23" t="s">
        <v>55</v>
      </c>
      <c r="AA282" s="27" t="s">
        <v>55</v>
      </c>
      <c r="AB282" s="27" t="s">
        <v>60</v>
      </c>
      <c r="AC282" s="27">
        <v>3</v>
      </c>
      <c r="AD282" s="27" t="s">
        <v>61</v>
      </c>
      <c r="AE282" s="27">
        <v>95</v>
      </c>
      <c r="AF282" s="27">
        <v>98</v>
      </c>
      <c r="AG282" s="27"/>
      <c r="AH282" s="27" t="s">
        <v>58</v>
      </c>
      <c r="AI282" s="27" t="s">
        <v>1006</v>
      </c>
      <c r="AJ282" s="1" t="str">
        <f t="shared" si="107"/>
        <v>SYS.DWS.dws_instance_id.dws010_cpu_usage</v>
      </c>
      <c r="AK282" s="1" t="s">
        <v>152</v>
      </c>
      <c r="AL282" s="1"/>
    </row>
    <row r="283" spans="1:38" hidden="1" x14ac:dyDescent="0.25">
      <c r="A283" s="24">
        <f t="shared" si="105"/>
        <v>282</v>
      </c>
      <c r="B283" s="25" t="s">
        <v>999</v>
      </c>
      <c r="C283" s="25" t="s">
        <v>1000</v>
      </c>
      <c r="D283" s="25" t="s">
        <v>1001</v>
      </c>
      <c r="E283" s="25" t="s">
        <v>1007</v>
      </c>
      <c r="F283" s="25" t="s">
        <v>1008</v>
      </c>
      <c r="G283" s="25" t="s">
        <v>76</v>
      </c>
      <c r="H283" s="25" t="s">
        <v>1011</v>
      </c>
      <c r="I283" s="25" t="s">
        <v>1012</v>
      </c>
      <c r="J283" s="25" t="s">
        <v>38</v>
      </c>
      <c r="K283" s="25">
        <v>60</v>
      </c>
      <c r="L283" s="25"/>
      <c r="M283" s="25" t="s">
        <v>58</v>
      </c>
      <c r="N283" s="23" t="s">
        <v>55</v>
      </c>
      <c r="O283" s="23" t="s">
        <v>59</v>
      </c>
      <c r="P283" s="23" t="s">
        <v>60</v>
      </c>
      <c r="Q283" s="23">
        <v>3</v>
      </c>
      <c r="R283" s="23" t="s">
        <v>61</v>
      </c>
      <c r="S283" s="23">
        <v>90</v>
      </c>
      <c r="T283" s="23">
        <v>95</v>
      </c>
      <c r="U283" s="23" t="s">
        <v>58</v>
      </c>
      <c r="V283" s="23" t="s">
        <v>459</v>
      </c>
      <c r="W283" s="23"/>
      <c r="X283" s="23" t="e">
        <f>IF(COUNTIF(#REF!,_xlfn.TEXTJOIN(".",,C283,F283,H283)),"是","否")</f>
        <v>#REF!</v>
      </c>
      <c r="Y283" s="23" t="e">
        <f t="shared" si="106"/>
        <v>#REF!</v>
      </c>
      <c r="Z283" s="23" t="s">
        <v>55</v>
      </c>
      <c r="AA283" s="27" t="s">
        <v>55</v>
      </c>
      <c r="AB283" s="27" t="s">
        <v>60</v>
      </c>
      <c r="AC283" s="27">
        <v>3</v>
      </c>
      <c r="AD283" s="27" t="s">
        <v>61</v>
      </c>
      <c r="AE283" s="27">
        <v>90</v>
      </c>
      <c r="AF283" s="27">
        <v>95</v>
      </c>
      <c r="AG283" s="27"/>
      <c r="AH283" s="27" t="s">
        <v>58</v>
      </c>
      <c r="AI283" s="27" t="s">
        <v>1006</v>
      </c>
      <c r="AJ283" s="1" t="str">
        <f t="shared" si="107"/>
        <v>SYS.DWS.dws_instance_id.dws011_mem_usage</v>
      </c>
      <c r="AK283" s="1" t="s">
        <v>152</v>
      </c>
      <c r="AL283" s="1"/>
    </row>
    <row r="284" spans="1:38" hidden="1" x14ac:dyDescent="0.25">
      <c r="A284" s="24">
        <f t="shared" si="105"/>
        <v>283</v>
      </c>
      <c r="B284" s="25" t="s">
        <v>999</v>
      </c>
      <c r="C284" s="25" t="s">
        <v>1000</v>
      </c>
      <c r="D284" s="25" t="s">
        <v>1001</v>
      </c>
      <c r="E284" s="25" t="s">
        <v>1007</v>
      </c>
      <c r="F284" s="25" t="s">
        <v>1008</v>
      </c>
      <c r="G284" s="25" t="s">
        <v>344</v>
      </c>
      <c r="H284" s="25" t="s">
        <v>1013</v>
      </c>
      <c r="I284" s="25" t="s">
        <v>1014</v>
      </c>
      <c r="J284" s="25" t="s">
        <v>38</v>
      </c>
      <c r="K284" s="25">
        <v>60</v>
      </c>
      <c r="L284" s="25"/>
      <c r="M284" s="25" t="s">
        <v>58</v>
      </c>
      <c r="N284" s="23" t="s">
        <v>55</v>
      </c>
      <c r="O284" s="23" t="s">
        <v>59</v>
      </c>
      <c r="P284" s="26" t="s">
        <v>60</v>
      </c>
      <c r="Q284" s="26">
        <v>3</v>
      </c>
      <c r="R284" s="26" t="s">
        <v>61</v>
      </c>
      <c r="S284" s="26">
        <v>80</v>
      </c>
      <c r="T284" s="26">
        <v>90</v>
      </c>
      <c r="U284" s="34" t="s">
        <v>58</v>
      </c>
      <c r="V284" s="23" t="s">
        <v>459</v>
      </c>
      <c r="W284" s="23"/>
      <c r="X284" s="23" t="e">
        <f>IF(COUNTIF(#REF!,_xlfn.TEXTJOIN(".",,C284,F284,H284)),"是","否")</f>
        <v>#REF!</v>
      </c>
      <c r="Y284" s="23" t="e">
        <f t="shared" si="106"/>
        <v>#REF!</v>
      </c>
      <c r="Z284" s="23" t="s">
        <v>55</v>
      </c>
      <c r="AA284" s="27" t="s">
        <v>55</v>
      </c>
      <c r="AB284" s="27" t="s">
        <v>60</v>
      </c>
      <c r="AC284" s="27">
        <v>3</v>
      </c>
      <c r="AD284" s="27" t="s">
        <v>61</v>
      </c>
      <c r="AE284" s="27">
        <v>75</v>
      </c>
      <c r="AF284" s="27">
        <v>80</v>
      </c>
      <c r="AG284" s="27"/>
      <c r="AH284" s="27" t="s">
        <v>58</v>
      </c>
      <c r="AI284" s="27" t="s">
        <v>1006</v>
      </c>
      <c r="AJ284" s="1" t="str">
        <f t="shared" si="107"/>
        <v>SYS.DWS.dws_instance_id.dws015_disk_usage</v>
      </c>
      <c r="AK284" s="1" t="s">
        <v>152</v>
      </c>
      <c r="AL284" s="1"/>
    </row>
    <row r="285" spans="1:38" hidden="1" x14ac:dyDescent="0.25">
      <c r="A285" s="24">
        <f t="shared" si="105"/>
        <v>284</v>
      </c>
      <c r="B285" s="25" t="s">
        <v>999</v>
      </c>
      <c r="C285" s="25" t="s">
        <v>1000</v>
      </c>
      <c r="D285" s="25" t="s">
        <v>1001</v>
      </c>
      <c r="E285" s="25" t="s">
        <v>1007</v>
      </c>
      <c r="F285" s="25" t="s">
        <v>1008</v>
      </c>
      <c r="G285" s="25" t="s">
        <v>346</v>
      </c>
      <c r="H285" s="25" t="s">
        <v>1015</v>
      </c>
      <c r="I285" s="25" t="s">
        <v>1016</v>
      </c>
      <c r="J285" s="25" t="s">
        <v>38</v>
      </c>
      <c r="K285" s="25">
        <v>60</v>
      </c>
      <c r="L285" s="25"/>
      <c r="M285" s="25" t="s">
        <v>82</v>
      </c>
      <c r="N285" s="23" t="s">
        <v>55</v>
      </c>
      <c r="O285" s="23" t="s">
        <v>59</v>
      </c>
      <c r="P285" s="26" t="s">
        <v>60</v>
      </c>
      <c r="Q285" s="26">
        <v>5</v>
      </c>
      <c r="R285" s="26" t="s">
        <v>61</v>
      </c>
      <c r="S285" s="26"/>
      <c r="T285" s="26">
        <v>300000000</v>
      </c>
      <c r="U285" s="35" t="s">
        <v>111</v>
      </c>
      <c r="V285" s="26" t="s">
        <v>1006</v>
      </c>
      <c r="W285" s="26"/>
      <c r="X285" s="23" t="e">
        <f>IF(COUNTIF(#REF!,_xlfn.TEXTJOIN(".",,C285,F285,H285)),"是","否")</f>
        <v>#REF!</v>
      </c>
      <c r="Y285" s="23" t="e">
        <f t="shared" si="106"/>
        <v>#REF!</v>
      </c>
      <c r="Z285" s="23" t="s">
        <v>55</v>
      </c>
      <c r="AA285" s="23"/>
      <c r="AB285" s="23"/>
      <c r="AC285" s="23"/>
      <c r="AD285" s="23"/>
      <c r="AE285" s="23"/>
      <c r="AF285" s="23"/>
      <c r="AG285" s="23"/>
      <c r="AH285" s="23"/>
      <c r="AI285" s="23"/>
      <c r="AJ285" s="1" t="str">
        <f t="shared" si="107"/>
        <v>SYS.DWS.dws_instance_id.dws018_disk_read_throughput</v>
      </c>
      <c r="AK285" s="1" t="s">
        <v>152</v>
      </c>
      <c r="AL285" s="1"/>
    </row>
    <row r="286" spans="1:38" hidden="1" x14ac:dyDescent="0.25">
      <c r="A286" s="24">
        <f t="shared" si="105"/>
        <v>285</v>
      </c>
      <c r="B286" s="25" t="s">
        <v>999</v>
      </c>
      <c r="C286" s="25" t="s">
        <v>1000</v>
      </c>
      <c r="D286" s="25" t="s">
        <v>1001</v>
      </c>
      <c r="E286" s="25" t="s">
        <v>1007</v>
      </c>
      <c r="F286" s="25" t="s">
        <v>1008</v>
      </c>
      <c r="G286" s="25" t="s">
        <v>347</v>
      </c>
      <c r="H286" s="25" t="s">
        <v>1017</v>
      </c>
      <c r="I286" s="25" t="s">
        <v>1018</v>
      </c>
      <c r="J286" s="25" t="s">
        <v>38</v>
      </c>
      <c r="K286" s="25">
        <v>60</v>
      </c>
      <c r="L286" s="25"/>
      <c r="M286" s="25" t="s">
        <v>82</v>
      </c>
      <c r="N286" s="23" t="s">
        <v>55</v>
      </c>
      <c r="O286" s="23" t="s">
        <v>59</v>
      </c>
      <c r="P286" s="26" t="s">
        <v>60</v>
      </c>
      <c r="Q286" s="26">
        <v>5</v>
      </c>
      <c r="R286" s="26" t="s">
        <v>61</v>
      </c>
      <c r="S286" s="26"/>
      <c r="T286" s="26">
        <v>300000000</v>
      </c>
      <c r="U286" s="35" t="s">
        <v>111</v>
      </c>
      <c r="V286" s="26" t="s">
        <v>1006</v>
      </c>
      <c r="W286" s="26"/>
      <c r="X286" s="23" t="e">
        <f>IF(COUNTIF(#REF!,_xlfn.TEXTJOIN(".",,C286,F286,H286)),"是","否")</f>
        <v>#REF!</v>
      </c>
      <c r="Y286" s="23" t="e">
        <f t="shared" si="106"/>
        <v>#REF!</v>
      </c>
      <c r="Z286" s="23" t="s">
        <v>55</v>
      </c>
      <c r="AA286" s="23"/>
      <c r="AB286" s="23"/>
      <c r="AC286" s="23"/>
      <c r="AD286" s="23"/>
      <c r="AE286" s="23"/>
      <c r="AF286" s="23"/>
      <c r="AG286" s="23"/>
      <c r="AH286" s="23"/>
      <c r="AI286" s="23"/>
      <c r="AJ286" s="1" t="str">
        <f t="shared" si="107"/>
        <v>SYS.DWS.dws_instance_id.dws019_disk_write_throughput</v>
      </c>
      <c r="AK286" s="1" t="s">
        <v>152</v>
      </c>
      <c r="AL286" s="1"/>
    </row>
    <row r="287" spans="1:38" hidden="1" x14ac:dyDescent="0.25">
      <c r="A287" s="24">
        <f t="shared" si="105"/>
        <v>286</v>
      </c>
      <c r="B287" s="25" t="s">
        <v>999</v>
      </c>
      <c r="C287" s="25" t="s">
        <v>1000</v>
      </c>
      <c r="D287" s="25" t="s">
        <v>1001</v>
      </c>
      <c r="E287" s="25" t="s">
        <v>1007</v>
      </c>
      <c r="F287" s="25" t="s">
        <v>1008</v>
      </c>
      <c r="G287" s="25" t="s">
        <v>355</v>
      </c>
      <c r="H287" s="25" t="s">
        <v>1019</v>
      </c>
      <c r="I287" s="22" t="s">
        <v>1020</v>
      </c>
      <c r="J287" s="22" t="s">
        <v>38</v>
      </c>
      <c r="K287" s="22">
        <v>60</v>
      </c>
      <c r="L287" s="22"/>
      <c r="M287" s="22" t="s">
        <v>226</v>
      </c>
      <c r="N287" s="23" t="s">
        <v>55</v>
      </c>
      <c r="O287" s="23" t="s">
        <v>59</v>
      </c>
      <c r="P287" s="23" t="s">
        <v>60</v>
      </c>
      <c r="Q287" s="23">
        <v>3</v>
      </c>
      <c r="R287" s="23" t="s">
        <v>61</v>
      </c>
      <c r="S287" s="23">
        <v>0.4</v>
      </c>
      <c r="T287" s="23"/>
      <c r="U287" s="22" t="s">
        <v>123</v>
      </c>
      <c r="V287" s="23" t="s">
        <v>62</v>
      </c>
      <c r="W287" s="23"/>
      <c r="X287" s="23" t="e">
        <f>IF(COUNTIF(#REF!,_xlfn.TEXTJOIN(".",,C287,F287,H287)),"是","否")</f>
        <v>#REF!</v>
      </c>
      <c r="Y287" s="23" t="e">
        <f t="shared" si="106"/>
        <v>#REF!</v>
      </c>
      <c r="Z287" s="23"/>
      <c r="AA287" s="27" t="s">
        <v>55</v>
      </c>
      <c r="AB287" s="27" t="s">
        <v>60</v>
      </c>
      <c r="AC287" s="27">
        <v>3</v>
      </c>
      <c r="AD287" s="27" t="s">
        <v>61</v>
      </c>
      <c r="AE287" s="27">
        <v>400</v>
      </c>
      <c r="AF287" s="27"/>
      <c r="AG287" s="27" t="s">
        <v>370</v>
      </c>
      <c r="AH287" s="27" t="s">
        <v>44</v>
      </c>
      <c r="AI287" s="27" t="s">
        <v>1006</v>
      </c>
      <c r="AJ287" s="1" t="str">
        <f t="shared" si="107"/>
        <v>SYS.DWS.dws_instance_id.dws020_avg_disk_sec_per_read</v>
      </c>
      <c r="AK287" s="1"/>
      <c r="AL287" s="1"/>
    </row>
    <row r="288" spans="1:38" hidden="1" x14ac:dyDescent="0.25">
      <c r="A288" s="24">
        <f t="shared" si="105"/>
        <v>287</v>
      </c>
      <c r="B288" s="25" t="s">
        <v>999</v>
      </c>
      <c r="C288" s="25" t="s">
        <v>1000</v>
      </c>
      <c r="D288" s="25" t="s">
        <v>1001</v>
      </c>
      <c r="E288" s="25" t="s">
        <v>1007</v>
      </c>
      <c r="F288" s="25" t="s">
        <v>1008</v>
      </c>
      <c r="G288" s="25" t="s">
        <v>356</v>
      </c>
      <c r="H288" s="25" t="s">
        <v>1021</v>
      </c>
      <c r="I288" s="22" t="s">
        <v>1022</v>
      </c>
      <c r="J288" s="22" t="s">
        <v>38</v>
      </c>
      <c r="K288" s="22">
        <v>60</v>
      </c>
      <c r="L288" s="22"/>
      <c r="M288" s="22" t="s">
        <v>226</v>
      </c>
      <c r="N288" s="23" t="s">
        <v>55</v>
      </c>
      <c r="O288" s="23" t="s">
        <v>59</v>
      </c>
      <c r="P288" s="23" t="s">
        <v>60</v>
      </c>
      <c r="Q288" s="23">
        <v>3</v>
      </c>
      <c r="R288" s="23" t="s">
        <v>61</v>
      </c>
      <c r="S288" s="23">
        <v>0.4</v>
      </c>
      <c r="T288" s="23"/>
      <c r="U288" s="22" t="s">
        <v>123</v>
      </c>
      <c r="V288" s="23" t="s">
        <v>62</v>
      </c>
      <c r="W288" s="23"/>
      <c r="X288" s="23" t="e">
        <f>IF(COUNTIF(#REF!,_xlfn.TEXTJOIN(".",,C288,F288,H288)),"是","否")</f>
        <v>#REF!</v>
      </c>
      <c r="Y288" s="23" t="e">
        <f t="shared" si="106"/>
        <v>#REF!</v>
      </c>
      <c r="Z288" s="23"/>
      <c r="AA288" s="27" t="s">
        <v>55</v>
      </c>
      <c r="AB288" s="27" t="s">
        <v>60</v>
      </c>
      <c r="AC288" s="27">
        <v>3</v>
      </c>
      <c r="AD288" s="27" t="s">
        <v>61</v>
      </c>
      <c r="AE288" s="27">
        <v>400</v>
      </c>
      <c r="AF288" s="27"/>
      <c r="AG288" s="27" t="s">
        <v>370</v>
      </c>
      <c r="AH288" s="27" t="s">
        <v>44</v>
      </c>
      <c r="AI288" s="27" t="s">
        <v>1006</v>
      </c>
      <c r="AJ288" s="1" t="str">
        <f t="shared" si="107"/>
        <v>SYS.DWS.dws_instance_id.dws021_avg_disk_sec_per_write</v>
      </c>
      <c r="AK288" s="1"/>
      <c r="AL288" s="1"/>
    </row>
    <row r="289" spans="1:38" hidden="1" x14ac:dyDescent="0.25">
      <c r="A289" s="24">
        <f t="shared" ref="A289:A292" si="108">ROW()-1</f>
        <v>288</v>
      </c>
      <c r="B289" s="25" t="s">
        <v>1023</v>
      </c>
      <c r="C289" s="25" t="s">
        <v>1024</v>
      </c>
      <c r="D289" s="25" t="s">
        <v>965</v>
      </c>
      <c r="E289" s="25" t="s">
        <v>1025</v>
      </c>
      <c r="F289" s="25" t="s">
        <v>1026</v>
      </c>
      <c r="G289" s="25" t="s">
        <v>357</v>
      </c>
      <c r="H289" s="25" t="s">
        <v>358</v>
      </c>
      <c r="I289" s="25" t="s">
        <v>359</v>
      </c>
      <c r="J289" s="25" t="s">
        <v>38</v>
      </c>
      <c r="K289" s="25">
        <v>60</v>
      </c>
      <c r="L289" s="25" t="s">
        <v>45</v>
      </c>
      <c r="M289" s="25" t="s">
        <v>58</v>
      </c>
      <c r="N289" s="23" t="s">
        <v>55</v>
      </c>
      <c r="O289" s="23" t="s">
        <v>59</v>
      </c>
      <c r="P289" s="23" t="s">
        <v>60</v>
      </c>
      <c r="Q289" s="23">
        <v>3</v>
      </c>
      <c r="R289" s="23" t="s">
        <v>240</v>
      </c>
      <c r="S289" s="23">
        <v>80</v>
      </c>
      <c r="T289" s="23">
        <v>95</v>
      </c>
      <c r="U289" s="23" t="s">
        <v>58</v>
      </c>
      <c r="V289" s="23" t="s">
        <v>62</v>
      </c>
      <c r="W289" s="23"/>
      <c r="X289" s="23" t="e">
        <f>IF(COUNTIF(#REF!,_xlfn.TEXTJOIN(".",,C289,F289,H289)),"是","否")</f>
        <v>#REF!</v>
      </c>
      <c r="Y289" s="23" t="e">
        <f t="shared" ref="Y289:Y292" si="109">IF(AND(O289="底线指标",X289="是"),"是","否")</f>
        <v>#REF!</v>
      </c>
      <c r="Z289" s="23"/>
      <c r="AA289" s="23"/>
      <c r="AB289" s="23"/>
      <c r="AC289" s="23"/>
      <c r="AD289" s="23"/>
      <c r="AE289" s="23"/>
      <c r="AF289" s="23"/>
      <c r="AG289" s="23"/>
      <c r="AH289" s="23"/>
      <c r="AI289" s="23"/>
      <c r="AJ289" s="1" t="str">
        <f t="shared" ref="AJ289:AJ292" si="110">_xlfn.TEXTJOIN(".",TRUE,C289,F289,H289)</f>
        <v>SYS.RDS_MYSQL_CLUSTER.rds_cluster_id,rds_instance_id.rds_conn_active_usage</v>
      </c>
      <c r="AK289" s="1" t="s">
        <v>152</v>
      </c>
      <c r="AL289" s="1"/>
    </row>
    <row r="290" spans="1:38" hidden="1" x14ac:dyDescent="0.25">
      <c r="A290" s="24">
        <f t="shared" si="108"/>
        <v>289</v>
      </c>
      <c r="B290" s="25" t="s">
        <v>1023</v>
      </c>
      <c r="C290" s="25" t="s">
        <v>1024</v>
      </c>
      <c r="D290" s="25" t="s">
        <v>965</v>
      </c>
      <c r="E290" s="25" t="s">
        <v>1025</v>
      </c>
      <c r="F290" s="25" t="s">
        <v>1026</v>
      </c>
      <c r="G290" s="25" t="s">
        <v>72</v>
      </c>
      <c r="H290" s="25" t="s">
        <v>107</v>
      </c>
      <c r="I290" s="25" t="s">
        <v>341</v>
      </c>
      <c r="J290" s="25" t="s">
        <v>38</v>
      </c>
      <c r="K290" s="25">
        <v>60</v>
      </c>
      <c r="L290" s="25" t="s">
        <v>45</v>
      </c>
      <c r="M290" s="25" t="s">
        <v>58</v>
      </c>
      <c r="N290" s="23" t="s">
        <v>55</v>
      </c>
      <c r="O290" s="23" t="s">
        <v>59</v>
      </c>
      <c r="P290" s="26" t="s">
        <v>60</v>
      </c>
      <c r="Q290" s="26">
        <v>3</v>
      </c>
      <c r="R290" s="26" t="s">
        <v>240</v>
      </c>
      <c r="S290" s="26">
        <v>80</v>
      </c>
      <c r="T290" s="26">
        <v>90</v>
      </c>
      <c r="U290" s="23" t="s">
        <v>58</v>
      </c>
      <c r="V290" s="23" t="s">
        <v>62</v>
      </c>
      <c r="W290" s="23" t="s">
        <v>1027</v>
      </c>
      <c r="X290" s="23" t="e">
        <f>IF(COUNTIF(#REF!,_xlfn.TEXTJOIN(".",,C290,F290,H290)),"是","否")</f>
        <v>#REF!</v>
      </c>
      <c r="Y290" s="23" t="e">
        <f t="shared" si="109"/>
        <v>#REF!</v>
      </c>
      <c r="Z290" s="23" t="s">
        <v>55</v>
      </c>
      <c r="AA290" s="23"/>
      <c r="AB290" s="23"/>
      <c r="AC290" s="23"/>
      <c r="AD290" s="23"/>
      <c r="AE290" s="23"/>
      <c r="AF290" s="23"/>
      <c r="AG290" s="23"/>
      <c r="AH290" s="23"/>
      <c r="AI290" s="23"/>
      <c r="AJ290" s="1" t="str">
        <f t="shared" si="110"/>
        <v>SYS.RDS_MYSQL_CLUSTER.rds_cluster_id,rds_instance_id.rds001_cpu_util</v>
      </c>
      <c r="AK290" s="1" t="s">
        <v>152</v>
      </c>
      <c r="AL290" s="1"/>
    </row>
    <row r="291" spans="1:38" hidden="1" x14ac:dyDescent="0.25">
      <c r="A291" s="24">
        <f t="shared" si="108"/>
        <v>290</v>
      </c>
      <c r="B291" s="25" t="s">
        <v>1023</v>
      </c>
      <c r="C291" s="25" t="s">
        <v>1024</v>
      </c>
      <c r="D291" s="25" t="s">
        <v>965</v>
      </c>
      <c r="E291" s="25" t="s">
        <v>1025</v>
      </c>
      <c r="F291" s="25" t="s">
        <v>1026</v>
      </c>
      <c r="G291" s="25" t="s">
        <v>76</v>
      </c>
      <c r="H291" s="25" t="s">
        <v>109</v>
      </c>
      <c r="I291" s="25" t="s">
        <v>78</v>
      </c>
      <c r="J291" s="25" t="s">
        <v>38</v>
      </c>
      <c r="K291" s="25">
        <v>60</v>
      </c>
      <c r="L291" s="25" t="s">
        <v>45</v>
      </c>
      <c r="M291" s="25" t="s">
        <v>58</v>
      </c>
      <c r="N291" s="23" t="s">
        <v>55</v>
      </c>
      <c r="O291" s="23" t="s">
        <v>59</v>
      </c>
      <c r="P291" s="26" t="s">
        <v>60</v>
      </c>
      <c r="Q291" s="26">
        <v>3</v>
      </c>
      <c r="R291" s="26" t="s">
        <v>240</v>
      </c>
      <c r="S291" s="26">
        <v>90</v>
      </c>
      <c r="T291" s="26">
        <v>95</v>
      </c>
      <c r="U291" s="23" t="s">
        <v>58</v>
      </c>
      <c r="V291" s="23" t="s">
        <v>62</v>
      </c>
      <c r="W291" s="23" t="s">
        <v>1027</v>
      </c>
      <c r="X291" s="23" t="e">
        <f>IF(COUNTIF(#REF!,_xlfn.TEXTJOIN(".",,C291,F291,H291)),"是","否")</f>
        <v>#REF!</v>
      </c>
      <c r="Y291" s="23" t="e">
        <f t="shared" si="109"/>
        <v>#REF!</v>
      </c>
      <c r="Z291" s="23" t="s">
        <v>55</v>
      </c>
      <c r="AA291" s="23"/>
      <c r="AB291" s="23"/>
      <c r="AC291" s="23"/>
      <c r="AD291" s="23"/>
      <c r="AE291" s="23"/>
      <c r="AF291" s="23"/>
      <c r="AG291" s="23"/>
      <c r="AH291" s="23"/>
      <c r="AI291" s="23"/>
      <c r="AJ291" s="1" t="str">
        <f t="shared" si="110"/>
        <v>SYS.RDS_MYSQL_CLUSTER.rds_cluster_id,rds_instance_id.rds002_mem_util</v>
      </c>
      <c r="AK291" s="1" t="s">
        <v>152</v>
      </c>
      <c r="AL291" s="1"/>
    </row>
    <row r="292" spans="1:38" hidden="1" x14ac:dyDescent="0.25">
      <c r="A292" s="24">
        <f t="shared" si="108"/>
        <v>291</v>
      </c>
      <c r="B292" s="25" t="s">
        <v>1023</v>
      </c>
      <c r="C292" s="25" t="s">
        <v>1024</v>
      </c>
      <c r="D292" s="25" t="s">
        <v>965</v>
      </c>
      <c r="E292" s="25" t="s">
        <v>1025</v>
      </c>
      <c r="F292" s="25" t="s">
        <v>1026</v>
      </c>
      <c r="G292" s="25" t="s">
        <v>344</v>
      </c>
      <c r="H292" s="25" t="s">
        <v>345</v>
      </c>
      <c r="I292" s="25" t="s">
        <v>81</v>
      </c>
      <c r="J292" s="25" t="s">
        <v>38</v>
      </c>
      <c r="K292" s="25">
        <v>60</v>
      </c>
      <c r="L292" s="25" t="s">
        <v>45</v>
      </c>
      <c r="M292" s="25" t="s">
        <v>58</v>
      </c>
      <c r="N292" s="23" t="s">
        <v>55</v>
      </c>
      <c r="O292" s="23" t="s">
        <v>59</v>
      </c>
      <c r="P292" s="26" t="s">
        <v>60</v>
      </c>
      <c r="Q292" s="26">
        <v>3</v>
      </c>
      <c r="R292" s="26" t="s">
        <v>240</v>
      </c>
      <c r="S292" s="26">
        <v>80</v>
      </c>
      <c r="T292" s="26">
        <v>95</v>
      </c>
      <c r="U292" s="23" t="s">
        <v>58</v>
      </c>
      <c r="V292" s="23" t="s">
        <v>62</v>
      </c>
      <c r="W292" s="23" t="s">
        <v>1027</v>
      </c>
      <c r="X292" s="23" t="e">
        <f>IF(COUNTIF(#REF!,_xlfn.TEXTJOIN(".",,C292,F292,H292)),"是","否")</f>
        <v>#REF!</v>
      </c>
      <c r="Y292" s="23" t="e">
        <f t="shared" si="109"/>
        <v>#REF!</v>
      </c>
      <c r="Z292" s="23" t="s">
        <v>55</v>
      </c>
      <c r="AA292" s="23"/>
      <c r="AB292" s="23"/>
      <c r="AC292" s="23"/>
      <c r="AD292" s="23"/>
      <c r="AE292" s="23"/>
      <c r="AF292" s="23"/>
      <c r="AG292" s="23"/>
      <c r="AH292" s="23"/>
      <c r="AI292" s="23"/>
      <c r="AJ292" s="1" t="str">
        <f t="shared" si="110"/>
        <v>SYS.RDS_MYSQL_CLUSTER.rds_cluster_id,rds_instance_id.rds039_disk_util</v>
      </c>
      <c r="AK292" s="1" t="s">
        <v>152</v>
      </c>
      <c r="AL292" s="1"/>
    </row>
    <row r="293" spans="1:38" hidden="1" x14ac:dyDescent="0.25">
      <c r="A293" s="24">
        <f t="shared" ref="A293:A302" si="111">ROW()-1</f>
        <v>292</v>
      </c>
      <c r="B293" s="25" t="s">
        <v>1023</v>
      </c>
      <c r="C293" s="25" t="s">
        <v>1024</v>
      </c>
      <c r="D293" s="25" t="s">
        <v>965</v>
      </c>
      <c r="E293" s="25" t="s">
        <v>1025</v>
      </c>
      <c r="F293" s="25" t="s">
        <v>1026</v>
      </c>
      <c r="G293" s="25" t="s">
        <v>174</v>
      </c>
      <c r="H293" s="25" t="s">
        <v>348</v>
      </c>
      <c r="I293" s="25" t="s">
        <v>982</v>
      </c>
      <c r="J293" s="25" t="s">
        <v>38</v>
      </c>
      <c r="K293" s="25">
        <v>60</v>
      </c>
      <c r="L293" s="25" t="s">
        <v>45</v>
      </c>
      <c r="M293" s="25" t="s">
        <v>58</v>
      </c>
      <c r="N293" s="23" t="s">
        <v>55</v>
      </c>
      <c r="O293" s="23" t="s">
        <v>59</v>
      </c>
      <c r="P293" s="26" t="s">
        <v>60</v>
      </c>
      <c r="Q293" s="26">
        <v>3</v>
      </c>
      <c r="R293" s="26" t="s">
        <v>240</v>
      </c>
      <c r="S293" s="26">
        <v>80</v>
      </c>
      <c r="T293" s="26">
        <v>90</v>
      </c>
      <c r="U293" s="23" t="s">
        <v>58</v>
      </c>
      <c r="V293" s="23" t="s">
        <v>62</v>
      </c>
      <c r="W293" s="23" t="s">
        <v>1027</v>
      </c>
      <c r="X293" s="23" t="e">
        <f>IF(COUNTIF(#REF!,_xlfn.TEXTJOIN(".",,C293,F293,H293)),"是","否")</f>
        <v>#REF!</v>
      </c>
      <c r="Y293" s="23" t="e">
        <f t="shared" ref="Y293:Y302" si="112">IF(AND(O293="底线指标",X293="是"),"是","否")</f>
        <v>#REF!</v>
      </c>
      <c r="Z293" s="23" t="s">
        <v>55</v>
      </c>
      <c r="AA293" s="23"/>
      <c r="AB293" s="23"/>
      <c r="AC293" s="23"/>
      <c r="AD293" s="23"/>
      <c r="AE293" s="23"/>
      <c r="AF293" s="23"/>
      <c r="AG293" s="23"/>
      <c r="AH293" s="23"/>
      <c r="AI293" s="23"/>
      <c r="AJ293" s="1" t="str">
        <f t="shared" ref="AJ293:AJ302" si="113">_xlfn.TEXTJOIN(".",TRUE,C293,F293,H293)</f>
        <v>SYS.RDS_MYSQL_CLUSTER.rds_cluster_id,rds_instance_id.rds072_conn_usage</v>
      </c>
      <c r="AK293" s="1" t="s">
        <v>152</v>
      </c>
      <c r="AL293" s="1"/>
    </row>
    <row r="294" spans="1:38" hidden="1" x14ac:dyDescent="0.25">
      <c r="A294" s="24">
        <f t="shared" si="111"/>
        <v>293</v>
      </c>
      <c r="B294" s="25" t="s">
        <v>1023</v>
      </c>
      <c r="C294" s="25" t="s">
        <v>1024</v>
      </c>
      <c r="D294" s="25" t="s">
        <v>965</v>
      </c>
      <c r="E294" s="25" t="s">
        <v>1025</v>
      </c>
      <c r="F294" s="25" t="s">
        <v>1026</v>
      </c>
      <c r="G294" s="25" t="s">
        <v>349</v>
      </c>
      <c r="H294" s="25" t="s">
        <v>350</v>
      </c>
      <c r="I294" s="25" t="s">
        <v>351</v>
      </c>
      <c r="J294" s="25" t="s">
        <v>38</v>
      </c>
      <c r="K294" s="25">
        <v>60</v>
      </c>
      <c r="L294" s="25" t="s">
        <v>45</v>
      </c>
      <c r="M294" s="25" t="s">
        <v>226</v>
      </c>
      <c r="N294" s="23" t="s">
        <v>55</v>
      </c>
      <c r="O294" s="23" t="s">
        <v>59</v>
      </c>
      <c r="P294" s="26" t="s">
        <v>60</v>
      </c>
      <c r="Q294" s="26">
        <v>3</v>
      </c>
      <c r="R294" s="26" t="s">
        <v>240</v>
      </c>
      <c r="S294" s="26">
        <v>300</v>
      </c>
      <c r="T294" s="26">
        <v>600</v>
      </c>
      <c r="U294" s="22" t="s">
        <v>226</v>
      </c>
      <c r="V294" s="23" t="s">
        <v>62</v>
      </c>
      <c r="W294" s="23" t="s">
        <v>1027</v>
      </c>
      <c r="X294" s="23" t="e">
        <f>IF(COUNTIF(#REF!,_xlfn.TEXTJOIN(".",,C294,F294,H294)),"是","否")</f>
        <v>#REF!</v>
      </c>
      <c r="Y294" s="23" t="e">
        <f t="shared" si="112"/>
        <v>#REF!</v>
      </c>
      <c r="Z294" s="23" t="s">
        <v>55</v>
      </c>
      <c r="AA294" s="23"/>
      <c r="AB294" s="23"/>
      <c r="AC294" s="23"/>
      <c r="AD294" s="23"/>
      <c r="AE294" s="23"/>
      <c r="AF294" s="23"/>
      <c r="AG294" s="23"/>
      <c r="AH294" s="23"/>
      <c r="AI294" s="23"/>
      <c r="AJ294" s="1" t="str">
        <f t="shared" si="113"/>
        <v>SYS.RDS_MYSQL_CLUSTER.rds_cluster_id,rds_instance_id.rds073_replication_delay</v>
      </c>
      <c r="AK294" s="1" t="s">
        <v>302</v>
      </c>
      <c r="AL294" s="1"/>
    </row>
    <row r="295" spans="1:38" hidden="1" x14ac:dyDescent="0.25">
      <c r="A295" s="24">
        <f t="shared" si="111"/>
        <v>294</v>
      </c>
      <c r="B295" s="25" t="s">
        <v>1028</v>
      </c>
      <c r="C295" s="25" t="s">
        <v>1029</v>
      </c>
      <c r="D295" s="25" t="s">
        <v>1030</v>
      </c>
      <c r="E295" s="25" t="s">
        <v>1031</v>
      </c>
      <c r="F295" s="25" t="s">
        <v>1032</v>
      </c>
      <c r="G295" s="25" t="s">
        <v>1033</v>
      </c>
      <c r="H295" s="25" t="s">
        <v>1034</v>
      </c>
      <c r="I295" s="25" t="s">
        <v>1035</v>
      </c>
      <c r="J295" s="25" t="s">
        <v>38</v>
      </c>
      <c r="K295" s="25">
        <v>300</v>
      </c>
      <c r="L295" s="25" t="s">
        <v>39</v>
      </c>
      <c r="M295" s="25" t="s">
        <v>591</v>
      </c>
      <c r="N295" s="23" t="s">
        <v>55</v>
      </c>
      <c r="O295" s="23" t="s">
        <v>59</v>
      </c>
      <c r="P295" s="26" t="s">
        <v>60</v>
      </c>
      <c r="Q295" s="26">
        <v>1</v>
      </c>
      <c r="R295" s="26" t="s">
        <v>335</v>
      </c>
      <c r="S295" s="26">
        <v>30</v>
      </c>
      <c r="T295" s="26">
        <v>7</v>
      </c>
      <c r="U295" s="23" t="s">
        <v>1036</v>
      </c>
      <c r="V295" s="23" t="s">
        <v>459</v>
      </c>
      <c r="W295" s="23"/>
      <c r="X295" s="23" t="e">
        <f>IF(COUNTIF(#REF!,_xlfn.TEXTJOIN(".",,C295,F295,H295)),"是","否")</f>
        <v>#REF!</v>
      </c>
      <c r="Y295" s="23" t="e">
        <f t="shared" si="112"/>
        <v>#REF!</v>
      </c>
      <c r="Z295" s="23"/>
      <c r="AA295" s="23"/>
      <c r="AB295" s="23"/>
      <c r="AC295" s="23"/>
      <c r="AD295" s="23"/>
      <c r="AE295" s="23"/>
      <c r="AF295" s="23"/>
      <c r="AG295" s="23"/>
      <c r="AH295" s="23"/>
      <c r="AI295" s="23"/>
      <c r="AJ295" s="1" t="str">
        <f t="shared" si="113"/>
        <v>SYS.KMS.key_id.material_remaining_time</v>
      </c>
      <c r="AK295" s="1"/>
      <c r="AL295" s="1"/>
    </row>
    <row r="296" spans="1:38" hidden="1" x14ac:dyDescent="0.25">
      <c r="A296" s="24">
        <f t="shared" si="111"/>
        <v>295</v>
      </c>
      <c r="B296" s="27" t="s">
        <v>1038</v>
      </c>
      <c r="C296" s="25" t="s">
        <v>1039</v>
      </c>
      <c r="D296" s="25" t="s">
        <v>1040</v>
      </c>
      <c r="E296" s="25" t="s">
        <v>998</v>
      </c>
      <c r="F296" s="25" t="s">
        <v>71</v>
      </c>
      <c r="G296" s="25" t="s">
        <v>84</v>
      </c>
      <c r="H296" s="25" t="s">
        <v>85</v>
      </c>
      <c r="I296" s="25" t="s">
        <v>1041</v>
      </c>
      <c r="J296" s="25" t="s">
        <v>38</v>
      </c>
      <c r="K296" s="25">
        <v>60</v>
      </c>
      <c r="L296" s="25" t="s">
        <v>39</v>
      </c>
      <c r="M296" s="25" t="s">
        <v>58</v>
      </c>
      <c r="N296" s="23" t="s">
        <v>55</v>
      </c>
      <c r="O296" s="23" t="s">
        <v>59</v>
      </c>
      <c r="P296" s="23" t="s">
        <v>60</v>
      </c>
      <c r="Q296" s="23">
        <v>3</v>
      </c>
      <c r="R296" s="23" t="s">
        <v>61</v>
      </c>
      <c r="S296" s="23">
        <v>80</v>
      </c>
      <c r="T296" s="23">
        <v>90</v>
      </c>
      <c r="U296" s="23" t="s">
        <v>58</v>
      </c>
      <c r="V296" s="23" t="s">
        <v>62</v>
      </c>
      <c r="W296" s="23"/>
      <c r="X296" s="23" t="e">
        <f>IF(COUNTIF(#REF!,_xlfn.TEXTJOIN(".",,C296,F296,H296)),"是","否")</f>
        <v>#REF!</v>
      </c>
      <c r="Y296" s="23" t="e">
        <f t="shared" si="112"/>
        <v>#REF!</v>
      </c>
      <c r="Z296" s="23" t="s">
        <v>55</v>
      </c>
      <c r="AA296" s="27" t="s">
        <v>55</v>
      </c>
      <c r="AB296" s="27" t="s">
        <v>60</v>
      </c>
      <c r="AC296" s="27">
        <v>3</v>
      </c>
      <c r="AD296" s="27" t="s">
        <v>61</v>
      </c>
      <c r="AE296" s="27">
        <v>80</v>
      </c>
      <c r="AF296" s="27">
        <v>90</v>
      </c>
      <c r="AG296" s="27"/>
      <c r="AH296" s="27" t="s">
        <v>58</v>
      </c>
      <c r="AI296" s="27" t="s">
        <v>62</v>
      </c>
      <c r="AJ296" s="1" t="str">
        <f t="shared" si="113"/>
        <v>AGT.ECS.instance_id.cpu_usage</v>
      </c>
      <c r="AK296" s="1" t="s">
        <v>152</v>
      </c>
      <c r="AL296" s="1"/>
    </row>
    <row r="297" spans="1:38" hidden="1" x14ac:dyDescent="0.25">
      <c r="A297" s="24">
        <f t="shared" si="111"/>
        <v>296</v>
      </c>
      <c r="B297" s="27" t="s">
        <v>1038</v>
      </c>
      <c r="C297" s="25" t="s">
        <v>1039</v>
      </c>
      <c r="D297" s="25" t="s">
        <v>1040</v>
      </c>
      <c r="E297" s="25" t="s">
        <v>998</v>
      </c>
      <c r="F297" s="25" t="s">
        <v>71</v>
      </c>
      <c r="G297" s="25" t="s">
        <v>88</v>
      </c>
      <c r="H297" s="25" t="s">
        <v>89</v>
      </c>
      <c r="I297" s="22" t="s">
        <v>1042</v>
      </c>
      <c r="J297" s="22" t="s">
        <v>38</v>
      </c>
      <c r="K297" s="22">
        <v>60</v>
      </c>
      <c r="L297" s="22" t="s">
        <v>39</v>
      </c>
      <c r="M297" s="22"/>
      <c r="N297" s="23" t="s">
        <v>55</v>
      </c>
      <c r="O297" s="23" t="s">
        <v>59</v>
      </c>
      <c r="P297" s="23" t="s">
        <v>60</v>
      </c>
      <c r="Q297" s="23">
        <v>3</v>
      </c>
      <c r="R297" s="23" t="s">
        <v>61</v>
      </c>
      <c r="S297" s="23">
        <v>1</v>
      </c>
      <c r="T297" s="23"/>
      <c r="U297" s="22"/>
      <c r="V297" s="23" t="s">
        <v>459</v>
      </c>
      <c r="W297" s="23"/>
      <c r="X297" s="23" t="e">
        <f>IF(COUNTIF(#REF!,_xlfn.TEXTJOIN(".",,C297,F297,H297)),"是","否")</f>
        <v>#REF!</v>
      </c>
      <c r="Y297" s="23" t="e">
        <f t="shared" si="112"/>
        <v>#REF!</v>
      </c>
      <c r="Z297" s="23"/>
      <c r="AA297" s="23"/>
      <c r="AB297" s="23"/>
      <c r="AC297" s="23"/>
      <c r="AD297" s="23"/>
      <c r="AE297" s="23"/>
      <c r="AF297" s="23"/>
      <c r="AG297" s="23"/>
      <c r="AH297" s="23"/>
      <c r="AI297" s="23"/>
      <c r="AJ297" s="1" t="str">
        <f t="shared" si="113"/>
        <v>AGT.ECS.instance_id.load_average5</v>
      </c>
      <c r="AK297" s="1"/>
      <c r="AL297" s="1"/>
    </row>
    <row r="298" spans="1:38" hidden="1" x14ac:dyDescent="0.25">
      <c r="A298" s="24">
        <f t="shared" si="111"/>
        <v>297</v>
      </c>
      <c r="B298" s="27" t="s">
        <v>1038</v>
      </c>
      <c r="C298" s="25" t="s">
        <v>1039</v>
      </c>
      <c r="D298" s="25" t="s">
        <v>1040</v>
      </c>
      <c r="E298" s="25" t="s">
        <v>998</v>
      </c>
      <c r="F298" s="25" t="s">
        <v>71</v>
      </c>
      <c r="G298" s="25" t="s">
        <v>86</v>
      </c>
      <c r="H298" s="25" t="s">
        <v>87</v>
      </c>
      <c r="I298" s="25" t="s">
        <v>110</v>
      </c>
      <c r="J298" s="25" t="s">
        <v>38</v>
      </c>
      <c r="K298" s="25">
        <v>60</v>
      </c>
      <c r="L298" s="25" t="s">
        <v>39</v>
      </c>
      <c r="M298" s="25" t="s">
        <v>58</v>
      </c>
      <c r="N298" s="23" t="s">
        <v>55</v>
      </c>
      <c r="O298" s="23" t="s">
        <v>59</v>
      </c>
      <c r="P298" s="23" t="s">
        <v>60</v>
      </c>
      <c r="Q298" s="23">
        <v>1</v>
      </c>
      <c r="R298" s="23" t="s">
        <v>61</v>
      </c>
      <c r="S298" s="23">
        <v>80</v>
      </c>
      <c r="T298" s="23">
        <v>90</v>
      </c>
      <c r="U298" s="23" t="s">
        <v>58</v>
      </c>
      <c r="V298" s="23" t="s">
        <v>62</v>
      </c>
      <c r="W298" s="23"/>
      <c r="X298" s="23" t="e">
        <f>IF(COUNTIF(#REF!,_xlfn.TEXTJOIN(".",,C298,F298,H298)),"是","否")</f>
        <v>#REF!</v>
      </c>
      <c r="Y298" s="23" t="e">
        <f t="shared" si="112"/>
        <v>#REF!</v>
      </c>
      <c r="Z298" s="23" t="s">
        <v>55</v>
      </c>
      <c r="AA298" s="27" t="s">
        <v>55</v>
      </c>
      <c r="AB298" s="27" t="s">
        <v>60</v>
      </c>
      <c r="AC298" s="27">
        <v>3</v>
      </c>
      <c r="AD298" s="27" t="s">
        <v>61</v>
      </c>
      <c r="AE298" s="27">
        <v>80</v>
      </c>
      <c r="AF298" s="27">
        <v>90</v>
      </c>
      <c r="AG298" s="27"/>
      <c r="AH298" s="27" t="s">
        <v>58</v>
      </c>
      <c r="AI298" s="27" t="s">
        <v>62</v>
      </c>
      <c r="AJ298" s="1" t="str">
        <f t="shared" si="113"/>
        <v>AGT.ECS.instance_id.mem_usedPercent</v>
      </c>
      <c r="AK298" s="1" t="s">
        <v>152</v>
      </c>
      <c r="AL298" s="1"/>
    </row>
    <row r="299" spans="1:38" hidden="1" x14ac:dyDescent="0.25">
      <c r="A299" s="24">
        <f t="shared" si="111"/>
        <v>298</v>
      </c>
      <c r="B299" s="27" t="s">
        <v>1038</v>
      </c>
      <c r="C299" s="25" t="s">
        <v>1039</v>
      </c>
      <c r="D299" s="25" t="s">
        <v>1040</v>
      </c>
      <c r="E299" s="25" t="s">
        <v>998</v>
      </c>
      <c r="F299" s="25" t="s">
        <v>71</v>
      </c>
      <c r="G299" s="25" t="s">
        <v>1043</v>
      </c>
      <c r="H299" s="25" t="s">
        <v>1044</v>
      </c>
      <c r="I299" s="25" t="s">
        <v>1045</v>
      </c>
      <c r="J299" s="25" t="s">
        <v>38</v>
      </c>
      <c r="K299" s="25">
        <v>60</v>
      </c>
      <c r="L299" s="25" t="s">
        <v>39</v>
      </c>
      <c r="M299" s="25" t="s">
        <v>58</v>
      </c>
      <c r="N299" s="23" t="s">
        <v>55</v>
      </c>
      <c r="O299" s="23" t="s">
        <v>59</v>
      </c>
      <c r="P299" s="23" t="s">
        <v>60</v>
      </c>
      <c r="Q299" s="23">
        <v>5</v>
      </c>
      <c r="R299" s="23" t="s">
        <v>61</v>
      </c>
      <c r="S299" s="23">
        <v>0</v>
      </c>
      <c r="T299" s="23"/>
      <c r="U299" s="23" t="s">
        <v>58</v>
      </c>
      <c r="V299" s="23" t="s">
        <v>151</v>
      </c>
      <c r="W299" s="23"/>
      <c r="X299" s="23" t="e">
        <f>IF(COUNTIF(#REF!,_xlfn.TEXTJOIN(".",,C299,F299,H299)),"是","否")</f>
        <v>#REF!</v>
      </c>
      <c r="Y299" s="23" t="e">
        <f t="shared" si="112"/>
        <v>#REF!</v>
      </c>
      <c r="Z299" s="23" t="s">
        <v>55</v>
      </c>
      <c r="AA299" s="27" t="s">
        <v>55</v>
      </c>
      <c r="AB299" s="27" t="s">
        <v>60</v>
      </c>
      <c r="AC299" s="27">
        <v>3</v>
      </c>
      <c r="AD299" s="27" t="s">
        <v>61</v>
      </c>
      <c r="AE299" s="27">
        <v>0</v>
      </c>
      <c r="AF299" s="27"/>
      <c r="AG299" s="27"/>
      <c r="AH299" s="27"/>
      <c r="AI299" s="27" t="s">
        <v>62</v>
      </c>
      <c r="AJ299" s="1" t="str">
        <f t="shared" si="113"/>
        <v>AGT.ECS.instance_id.net_errin</v>
      </c>
      <c r="AK299" s="1" t="s">
        <v>302</v>
      </c>
      <c r="AL299" s="1"/>
    </row>
    <row r="300" spans="1:38" hidden="1" x14ac:dyDescent="0.25">
      <c r="A300" s="24">
        <f t="shared" si="111"/>
        <v>299</v>
      </c>
      <c r="B300" s="27" t="s">
        <v>1038</v>
      </c>
      <c r="C300" s="25" t="s">
        <v>1039</v>
      </c>
      <c r="D300" s="25" t="s">
        <v>1040</v>
      </c>
      <c r="E300" s="25" t="s">
        <v>998</v>
      </c>
      <c r="F300" s="25" t="s">
        <v>71</v>
      </c>
      <c r="G300" s="25" t="s">
        <v>1046</v>
      </c>
      <c r="H300" s="25" t="s">
        <v>1047</v>
      </c>
      <c r="I300" s="25" t="s">
        <v>1048</v>
      </c>
      <c r="J300" s="25" t="s">
        <v>38</v>
      </c>
      <c r="K300" s="25">
        <v>60</v>
      </c>
      <c r="L300" s="25" t="s">
        <v>39</v>
      </c>
      <c r="M300" s="25" t="s">
        <v>58</v>
      </c>
      <c r="N300" s="23" t="s">
        <v>55</v>
      </c>
      <c r="O300" s="23" t="s">
        <v>59</v>
      </c>
      <c r="P300" s="23" t="s">
        <v>60</v>
      </c>
      <c r="Q300" s="23">
        <v>5</v>
      </c>
      <c r="R300" s="23" t="s">
        <v>61</v>
      </c>
      <c r="S300" s="23">
        <v>0</v>
      </c>
      <c r="T300" s="23"/>
      <c r="U300" s="23" t="s">
        <v>58</v>
      </c>
      <c r="V300" s="23" t="s">
        <v>151</v>
      </c>
      <c r="W300" s="23"/>
      <c r="X300" s="23" t="e">
        <f>IF(COUNTIF(#REF!,_xlfn.TEXTJOIN(".",,C300,F300,H300)),"是","否")</f>
        <v>#REF!</v>
      </c>
      <c r="Y300" s="23" t="e">
        <f t="shared" si="112"/>
        <v>#REF!</v>
      </c>
      <c r="Z300" s="23" t="s">
        <v>55</v>
      </c>
      <c r="AA300" s="27" t="s">
        <v>55</v>
      </c>
      <c r="AB300" s="27" t="s">
        <v>60</v>
      </c>
      <c r="AC300" s="27">
        <v>3</v>
      </c>
      <c r="AD300" s="27" t="s">
        <v>61</v>
      </c>
      <c r="AE300" s="27">
        <v>0</v>
      </c>
      <c r="AF300" s="27"/>
      <c r="AG300" s="27"/>
      <c r="AH300" s="27"/>
      <c r="AI300" s="27" t="s">
        <v>62</v>
      </c>
      <c r="AJ300" s="1" t="str">
        <f t="shared" si="113"/>
        <v>AGT.ECS.instance_id.net_errout</v>
      </c>
      <c r="AK300" s="1" t="s">
        <v>302</v>
      </c>
      <c r="AL300" s="1"/>
    </row>
    <row r="301" spans="1:38" hidden="1" x14ac:dyDescent="0.25">
      <c r="A301" s="24">
        <f t="shared" si="111"/>
        <v>300</v>
      </c>
      <c r="B301" s="27" t="s">
        <v>1038</v>
      </c>
      <c r="C301" s="25" t="s">
        <v>1039</v>
      </c>
      <c r="D301" s="25" t="s">
        <v>1040</v>
      </c>
      <c r="E301" s="25" t="s">
        <v>998</v>
      </c>
      <c r="F301" s="25" t="s">
        <v>71</v>
      </c>
      <c r="G301" s="25" t="s">
        <v>1049</v>
      </c>
      <c r="H301" s="25" t="s">
        <v>1050</v>
      </c>
      <c r="I301" s="25" t="s">
        <v>1051</v>
      </c>
      <c r="J301" s="25" t="s">
        <v>38</v>
      </c>
      <c r="K301" s="25">
        <v>60</v>
      </c>
      <c r="L301" s="25" t="s">
        <v>39</v>
      </c>
      <c r="M301" s="25" t="s">
        <v>58</v>
      </c>
      <c r="N301" s="23" t="s">
        <v>55</v>
      </c>
      <c r="O301" s="23" t="s">
        <v>59</v>
      </c>
      <c r="P301" s="23" t="s">
        <v>60</v>
      </c>
      <c r="Q301" s="23">
        <v>5</v>
      </c>
      <c r="R301" s="23" t="s">
        <v>61</v>
      </c>
      <c r="S301" s="23">
        <v>0</v>
      </c>
      <c r="T301" s="23"/>
      <c r="U301" s="23" t="s">
        <v>58</v>
      </c>
      <c r="V301" s="23" t="s">
        <v>151</v>
      </c>
      <c r="W301" s="23"/>
      <c r="X301" s="23" t="e">
        <f>IF(COUNTIF(#REF!,_xlfn.TEXTJOIN(".",,C301,F301,H301)),"是","否")</f>
        <v>#REF!</v>
      </c>
      <c r="Y301" s="23" t="e">
        <f t="shared" si="112"/>
        <v>#REF!</v>
      </c>
      <c r="Z301" s="23" t="s">
        <v>55</v>
      </c>
      <c r="AA301" s="27" t="s">
        <v>55</v>
      </c>
      <c r="AB301" s="27" t="s">
        <v>60</v>
      </c>
      <c r="AC301" s="27">
        <v>3</v>
      </c>
      <c r="AD301" s="27" t="s">
        <v>61</v>
      </c>
      <c r="AE301" s="27">
        <v>0</v>
      </c>
      <c r="AF301" s="27"/>
      <c r="AG301" s="27"/>
      <c r="AH301" s="27"/>
      <c r="AI301" s="27" t="s">
        <v>62</v>
      </c>
      <c r="AJ301" s="1" t="str">
        <f t="shared" si="113"/>
        <v>AGT.ECS.instance_id.net_dropin</v>
      </c>
      <c r="AK301" s="1" t="s">
        <v>302</v>
      </c>
      <c r="AL301" s="1"/>
    </row>
    <row r="302" spans="1:38" hidden="1" x14ac:dyDescent="0.25">
      <c r="A302" s="24">
        <f t="shared" si="111"/>
        <v>301</v>
      </c>
      <c r="B302" s="27" t="s">
        <v>1038</v>
      </c>
      <c r="C302" s="25" t="s">
        <v>1039</v>
      </c>
      <c r="D302" s="25" t="s">
        <v>1040</v>
      </c>
      <c r="E302" s="25" t="s">
        <v>998</v>
      </c>
      <c r="F302" s="25" t="s">
        <v>71</v>
      </c>
      <c r="G302" s="25" t="s">
        <v>1052</v>
      </c>
      <c r="H302" s="25" t="s">
        <v>1053</v>
      </c>
      <c r="I302" s="25" t="s">
        <v>1054</v>
      </c>
      <c r="J302" s="25" t="s">
        <v>38</v>
      </c>
      <c r="K302" s="25">
        <v>60</v>
      </c>
      <c r="L302" s="25" t="s">
        <v>39</v>
      </c>
      <c r="M302" s="25" t="s">
        <v>58</v>
      </c>
      <c r="N302" s="23" t="s">
        <v>55</v>
      </c>
      <c r="O302" s="23" t="s">
        <v>59</v>
      </c>
      <c r="P302" s="23" t="s">
        <v>60</v>
      </c>
      <c r="Q302" s="23">
        <v>5</v>
      </c>
      <c r="R302" s="23" t="s">
        <v>61</v>
      </c>
      <c r="S302" s="23">
        <v>0</v>
      </c>
      <c r="T302" s="23"/>
      <c r="U302" s="23" t="s">
        <v>58</v>
      </c>
      <c r="V302" s="23" t="s">
        <v>151</v>
      </c>
      <c r="W302" s="23"/>
      <c r="X302" s="23" t="e">
        <f>IF(COUNTIF(#REF!,_xlfn.TEXTJOIN(".",,C302,F302,H302)),"是","否")</f>
        <v>#REF!</v>
      </c>
      <c r="Y302" s="23" t="e">
        <f t="shared" si="112"/>
        <v>#REF!</v>
      </c>
      <c r="Z302" s="23" t="s">
        <v>55</v>
      </c>
      <c r="AA302" s="27" t="s">
        <v>55</v>
      </c>
      <c r="AB302" s="27" t="s">
        <v>60</v>
      </c>
      <c r="AC302" s="27">
        <v>3</v>
      </c>
      <c r="AD302" s="27" t="s">
        <v>61</v>
      </c>
      <c r="AE302" s="27">
        <v>0</v>
      </c>
      <c r="AF302" s="27"/>
      <c r="AG302" s="27"/>
      <c r="AH302" s="27"/>
      <c r="AI302" s="27" t="s">
        <v>62</v>
      </c>
      <c r="AJ302" s="1" t="str">
        <f t="shared" si="113"/>
        <v>AGT.ECS.instance_id.net_dropout</v>
      </c>
      <c r="AK302" s="1" t="s">
        <v>302</v>
      </c>
      <c r="AL302" s="1"/>
    </row>
    <row r="303" spans="1:38" hidden="1" x14ac:dyDescent="0.25">
      <c r="A303" s="24">
        <f t="shared" ref="A303:A307" si="114">ROW()-1</f>
        <v>302</v>
      </c>
      <c r="B303" s="27" t="s">
        <v>1038</v>
      </c>
      <c r="C303" s="25" t="s">
        <v>1039</v>
      </c>
      <c r="D303" s="25" t="s">
        <v>1040</v>
      </c>
      <c r="E303" s="25" t="s">
        <v>998</v>
      </c>
      <c r="F303" s="25" t="s">
        <v>71</v>
      </c>
      <c r="G303" s="25" t="s">
        <v>1055</v>
      </c>
      <c r="H303" s="25" t="s">
        <v>1056</v>
      </c>
      <c r="I303" s="25" t="s">
        <v>1057</v>
      </c>
      <c r="J303" s="25" t="s">
        <v>38</v>
      </c>
      <c r="K303" s="25">
        <v>60</v>
      </c>
      <c r="L303" s="25" t="s">
        <v>39</v>
      </c>
      <c r="M303" s="25" t="s">
        <v>172</v>
      </c>
      <c r="N303" s="23" t="s">
        <v>55</v>
      </c>
      <c r="O303" s="23" t="s">
        <v>59</v>
      </c>
      <c r="P303" s="23" t="s">
        <v>60</v>
      </c>
      <c r="Q303" s="23">
        <v>5</v>
      </c>
      <c r="R303" s="23" t="s">
        <v>61</v>
      </c>
      <c r="S303" s="23">
        <v>0</v>
      </c>
      <c r="T303" s="23"/>
      <c r="U303" s="23" t="s">
        <v>172</v>
      </c>
      <c r="V303" s="23" t="s">
        <v>62</v>
      </c>
      <c r="W303" s="23"/>
      <c r="X303" s="23" t="e">
        <f>IF(COUNTIF(#REF!,_xlfn.TEXTJOIN(".",,C303,F303,H303)),"是","否")</f>
        <v>#REF!</v>
      </c>
      <c r="Y303" s="23" t="e">
        <f t="shared" ref="Y303:Y307" si="115">IF(AND(O303="底线指标",X303="是"),"是","否")</f>
        <v>#REF!</v>
      </c>
      <c r="Z303" s="23" t="s">
        <v>55</v>
      </c>
      <c r="AA303" s="27" t="s">
        <v>55</v>
      </c>
      <c r="AB303" s="27" t="s">
        <v>60</v>
      </c>
      <c r="AC303" s="27">
        <v>3</v>
      </c>
      <c r="AD303" s="27" t="s">
        <v>61</v>
      </c>
      <c r="AE303" s="27">
        <v>0</v>
      </c>
      <c r="AF303" s="27"/>
      <c r="AG303" s="27"/>
      <c r="AH303" s="27"/>
      <c r="AI303" s="27" t="s">
        <v>62</v>
      </c>
      <c r="AJ303" s="1" t="str">
        <f t="shared" ref="AJ303:AJ307" si="116">_xlfn.TEXTJOIN(".",TRUE,C303,F303,H303)</f>
        <v>AGT.ECS.instance_id.proc_blocked_count</v>
      </c>
      <c r="AK303" s="1" t="s">
        <v>302</v>
      </c>
      <c r="AL303" s="1"/>
    </row>
    <row r="304" spans="1:38" hidden="1" x14ac:dyDescent="0.25">
      <c r="A304" s="24">
        <f t="shared" si="114"/>
        <v>303</v>
      </c>
      <c r="B304" s="27" t="s">
        <v>1038</v>
      </c>
      <c r="C304" s="25" t="s">
        <v>1039</v>
      </c>
      <c r="D304" s="25" t="s">
        <v>1040</v>
      </c>
      <c r="E304" s="25" t="s">
        <v>998</v>
      </c>
      <c r="F304" s="25" t="s">
        <v>71</v>
      </c>
      <c r="G304" s="25" t="s">
        <v>1058</v>
      </c>
      <c r="H304" s="25" t="s">
        <v>1059</v>
      </c>
      <c r="I304" s="25" t="s">
        <v>1060</v>
      </c>
      <c r="J304" s="25" t="s">
        <v>38</v>
      </c>
      <c r="K304" s="25">
        <v>60</v>
      </c>
      <c r="L304" s="25"/>
      <c r="M304" s="25" t="s">
        <v>44</v>
      </c>
      <c r="N304" s="23" t="s">
        <v>55</v>
      </c>
      <c r="O304" s="23" t="s">
        <v>59</v>
      </c>
      <c r="P304" s="23" t="s">
        <v>60</v>
      </c>
      <c r="Q304" s="23">
        <v>3</v>
      </c>
      <c r="R304" s="23" t="s">
        <v>240</v>
      </c>
      <c r="S304" s="23">
        <v>5000</v>
      </c>
      <c r="T304" s="23">
        <v>10000</v>
      </c>
      <c r="U304" s="23" t="s">
        <v>44</v>
      </c>
      <c r="V304" s="23" t="s">
        <v>62</v>
      </c>
      <c r="W304" s="23"/>
      <c r="X304" s="23" t="e">
        <f>IF(COUNTIF(#REF!,_xlfn.TEXTJOIN(".",,C304,F304,H304)),"是","否")</f>
        <v>#REF!</v>
      </c>
      <c r="Y304" s="23" t="e">
        <f t="shared" si="115"/>
        <v>#REF!</v>
      </c>
      <c r="Z304" s="23" t="s">
        <v>55</v>
      </c>
      <c r="AA304" s="23"/>
      <c r="AB304" s="23"/>
      <c r="AC304" s="23"/>
      <c r="AD304" s="23"/>
      <c r="AE304" s="23"/>
      <c r="AF304" s="23"/>
      <c r="AG304" s="23"/>
      <c r="AH304" s="23"/>
      <c r="AI304" s="23"/>
      <c r="AJ304" s="1" t="str">
        <f t="shared" si="116"/>
        <v>AGT.ECS.instance_id.ntp_offset</v>
      </c>
      <c r="AK304" s="1" t="s">
        <v>302</v>
      </c>
      <c r="AL304" s="1"/>
    </row>
    <row r="305" spans="1:38" hidden="1" x14ac:dyDescent="0.25">
      <c r="A305" s="24">
        <f t="shared" si="114"/>
        <v>304</v>
      </c>
      <c r="B305" s="27" t="s">
        <v>1038</v>
      </c>
      <c r="C305" s="25" t="s">
        <v>1039</v>
      </c>
      <c r="D305" s="25" t="s">
        <v>1040</v>
      </c>
      <c r="E305" s="25" t="s">
        <v>1063</v>
      </c>
      <c r="F305" s="25" t="s">
        <v>1064</v>
      </c>
      <c r="G305" s="25" t="s">
        <v>92</v>
      </c>
      <c r="H305" s="25" t="s">
        <v>93</v>
      </c>
      <c r="I305" s="22" t="s">
        <v>1065</v>
      </c>
      <c r="J305" s="22" t="s">
        <v>38</v>
      </c>
      <c r="K305" s="22">
        <v>60</v>
      </c>
      <c r="L305" s="22" t="s">
        <v>39</v>
      </c>
      <c r="M305" s="22" t="s">
        <v>58</v>
      </c>
      <c r="N305" s="23" t="s">
        <v>55</v>
      </c>
      <c r="O305" s="23" t="s">
        <v>59</v>
      </c>
      <c r="P305" s="23" t="s">
        <v>60</v>
      </c>
      <c r="Q305" s="23">
        <v>3</v>
      </c>
      <c r="R305" s="23" t="s">
        <v>61</v>
      </c>
      <c r="S305" s="23">
        <v>80</v>
      </c>
      <c r="T305" s="23">
        <v>90</v>
      </c>
      <c r="U305" s="23" t="s">
        <v>58</v>
      </c>
      <c r="V305" s="23" t="s">
        <v>62</v>
      </c>
      <c r="W305" s="23"/>
      <c r="X305" s="23" t="e">
        <f>IF(COUNTIF(#REF!,_xlfn.TEXTJOIN(".",,C305,F305,H305)),"是","否")</f>
        <v>#REF!</v>
      </c>
      <c r="Y305" s="23" t="e">
        <f t="shared" si="115"/>
        <v>#REF!</v>
      </c>
      <c r="Z305" s="23" t="s">
        <v>55</v>
      </c>
      <c r="AA305" s="23"/>
      <c r="AB305" s="23"/>
      <c r="AC305" s="23"/>
      <c r="AD305" s="23"/>
      <c r="AE305" s="23"/>
      <c r="AF305" s="23"/>
      <c r="AG305" s="23"/>
      <c r="AH305" s="23"/>
      <c r="AI305" s="23"/>
      <c r="AJ305" s="1" t="str">
        <f t="shared" si="116"/>
        <v>AGT.ECS.instance_id,disk.disk_ioUtils</v>
      </c>
      <c r="AK305" s="1" t="s">
        <v>152</v>
      </c>
      <c r="AL305" s="1"/>
    </row>
    <row r="306" spans="1:38" hidden="1" x14ac:dyDescent="0.25">
      <c r="A306" s="24">
        <f t="shared" si="114"/>
        <v>305</v>
      </c>
      <c r="B306" s="27" t="s">
        <v>1038</v>
      </c>
      <c r="C306" s="25" t="s">
        <v>1039</v>
      </c>
      <c r="D306" s="25" t="s">
        <v>1040</v>
      </c>
      <c r="E306" s="25" t="s">
        <v>1063</v>
      </c>
      <c r="F306" s="25" t="s">
        <v>1064</v>
      </c>
      <c r="G306" s="25" t="s">
        <v>1066</v>
      </c>
      <c r="H306" s="25" t="s">
        <v>1067</v>
      </c>
      <c r="I306" s="25" t="s">
        <v>1068</v>
      </c>
      <c r="J306" s="25" t="s">
        <v>38</v>
      </c>
      <c r="K306" s="25">
        <v>60</v>
      </c>
      <c r="L306" s="25" t="s">
        <v>39</v>
      </c>
      <c r="M306" s="25" t="s">
        <v>1069</v>
      </c>
      <c r="N306" s="23" t="s">
        <v>55</v>
      </c>
      <c r="O306" s="23" t="s">
        <v>59</v>
      </c>
      <c r="P306" s="26" t="s">
        <v>60</v>
      </c>
      <c r="Q306" s="26">
        <v>3</v>
      </c>
      <c r="R306" s="26" t="s">
        <v>61</v>
      </c>
      <c r="S306" s="22"/>
      <c r="T306" s="34">
        <v>200</v>
      </c>
      <c r="U306" s="23" t="s">
        <v>44</v>
      </c>
      <c r="V306" s="23" t="s">
        <v>62</v>
      </c>
      <c r="W306" s="23"/>
      <c r="X306" s="23" t="e">
        <f>IF(COUNTIF(#REF!,_xlfn.TEXTJOIN(".",,C306,F306,H306)),"是","否")</f>
        <v>#REF!</v>
      </c>
      <c r="Y306" s="23" t="e">
        <f t="shared" si="115"/>
        <v>#REF!</v>
      </c>
      <c r="Z306" s="23"/>
      <c r="AA306" s="23"/>
      <c r="AB306" s="23"/>
      <c r="AC306" s="23"/>
      <c r="AD306" s="23"/>
      <c r="AE306" s="23"/>
      <c r="AF306" s="23"/>
      <c r="AG306" s="23"/>
      <c r="AH306" s="23"/>
      <c r="AI306" s="23"/>
      <c r="AJ306" s="1" t="str">
        <f t="shared" si="116"/>
        <v>AGT.ECS.instance_id,disk.disk_writeTime</v>
      </c>
      <c r="AK306" s="1"/>
      <c r="AL306" s="1"/>
    </row>
    <row r="307" spans="1:38" hidden="1" x14ac:dyDescent="0.25">
      <c r="A307" s="24">
        <f t="shared" si="114"/>
        <v>306</v>
      </c>
      <c r="B307" s="27" t="s">
        <v>1038</v>
      </c>
      <c r="C307" s="25" t="s">
        <v>1039</v>
      </c>
      <c r="D307" s="25" t="s">
        <v>1040</v>
      </c>
      <c r="E307" s="25" t="s">
        <v>1063</v>
      </c>
      <c r="F307" s="25" t="s">
        <v>1064</v>
      </c>
      <c r="G307" s="25" t="s">
        <v>1070</v>
      </c>
      <c r="H307" s="25" t="s">
        <v>1071</v>
      </c>
      <c r="I307" s="25" t="s">
        <v>1072</v>
      </c>
      <c r="J307" s="25" t="s">
        <v>38</v>
      </c>
      <c r="K307" s="25">
        <v>60</v>
      </c>
      <c r="L307" s="25" t="s">
        <v>39</v>
      </c>
      <c r="M307" s="25" t="s">
        <v>1069</v>
      </c>
      <c r="N307" s="23" t="s">
        <v>55</v>
      </c>
      <c r="O307" s="23" t="s">
        <v>59</v>
      </c>
      <c r="P307" s="26" t="s">
        <v>60</v>
      </c>
      <c r="Q307" s="26">
        <v>3</v>
      </c>
      <c r="R307" s="26" t="s">
        <v>61</v>
      </c>
      <c r="S307" s="22"/>
      <c r="T307" s="34">
        <v>200</v>
      </c>
      <c r="U307" s="23" t="s">
        <v>44</v>
      </c>
      <c r="V307" s="23" t="s">
        <v>62</v>
      </c>
      <c r="W307" s="23"/>
      <c r="X307" s="23" t="e">
        <f>IF(COUNTIF(#REF!,_xlfn.TEXTJOIN(".",,C307,F307,H307)),"是","否")</f>
        <v>#REF!</v>
      </c>
      <c r="Y307" s="23" t="e">
        <f t="shared" si="115"/>
        <v>#REF!</v>
      </c>
      <c r="Z307" s="23"/>
      <c r="AA307" s="23"/>
      <c r="AB307" s="23"/>
      <c r="AC307" s="23"/>
      <c r="AD307" s="23"/>
      <c r="AE307" s="23"/>
      <c r="AF307" s="23"/>
      <c r="AG307" s="23"/>
      <c r="AH307" s="23"/>
      <c r="AI307" s="23"/>
      <c r="AJ307" s="1" t="str">
        <f t="shared" si="116"/>
        <v>AGT.ECS.instance_id,disk.disk_readTime</v>
      </c>
      <c r="AK307" s="1"/>
      <c r="AL307" s="1"/>
    </row>
    <row r="308" spans="1:38" hidden="1" x14ac:dyDescent="0.25">
      <c r="A308" s="24">
        <f t="shared" ref="A308:A312" si="117">ROW()-1</f>
        <v>307</v>
      </c>
      <c r="B308" s="27" t="s">
        <v>1038</v>
      </c>
      <c r="C308" s="25" t="s">
        <v>1039</v>
      </c>
      <c r="D308" s="25" t="s">
        <v>1040</v>
      </c>
      <c r="E308" s="25" t="s">
        <v>1076</v>
      </c>
      <c r="F308" s="25" t="s">
        <v>1077</v>
      </c>
      <c r="G308" s="25" t="s">
        <v>94</v>
      </c>
      <c r="H308" s="25" t="s">
        <v>95</v>
      </c>
      <c r="I308" s="25" t="s">
        <v>1081</v>
      </c>
      <c r="J308" s="25" t="s">
        <v>38</v>
      </c>
      <c r="K308" s="25">
        <v>60</v>
      </c>
      <c r="L308" s="25" t="s">
        <v>39</v>
      </c>
      <c r="M308" s="25" t="s">
        <v>58</v>
      </c>
      <c r="N308" s="23" t="s">
        <v>55</v>
      </c>
      <c r="O308" s="23" t="s">
        <v>59</v>
      </c>
      <c r="P308" s="23" t="s">
        <v>60</v>
      </c>
      <c r="Q308" s="23">
        <v>3</v>
      </c>
      <c r="R308" s="23" t="s">
        <v>61</v>
      </c>
      <c r="S308" s="23">
        <v>80</v>
      </c>
      <c r="T308" s="23">
        <v>90</v>
      </c>
      <c r="U308" s="23" t="s">
        <v>58</v>
      </c>
      <c r="V308" s="23" t="s">
        <v>62</v>
      </c>
      <c r="W308" s="23"/>
      <c r="X308" s="23" t="e">
        <f>IF(COUNTIF(#REF!,_xlfn.TEXTJOIN(".",,C308,F308,H308)),"是","否")</f>
        <v>#REF!</v>
      </c>
      <c r="Y308" s="23" t="e">
        <f t="shared" ref="Y308:Y312" si="118">IF(AND(O308="底线指标",X308="是"),"是","否")</f>
        <v>#REF!</v>
      </c>
      <c r="Z308" s="23" t="s">
        <v>55</v>
      </c>
      <c r="AA308" s="27" t="s">
        <v>55</v>
      </c>
      <c r="AB308" s="27" t="s">
        <v>60</v>
      </c>
      <c r="AC308" s="27">
        <v>3</v>
      </c>
      <c r="AD308" s="27" t="s">
        <v>61</v>
      </c>
      <c r="AE308" s="27">
        <v>80</v>
      </c>
      <c r="AF308" s="27">
        <v>90</v>
      </c>
      <c r="AG308" s="27" t="s">
        <v>1082</v>
      </c>
      <c r="AH308" s="27" t="s">
        <v>58</v>
      </c>
      <c r="AI308" s="27" t="s">
        <v>62</v>
      </c>
      <c r="AJ308" s="1" t="str">
        <f t="shared" ref="AJ308:AJ312" si="119">_xlfn.TEXTJOIN(".",TRUE,C308,F308,H308)</f>
        <v>AGT.ECS.instance_id,mount_point.disk_usedPercent</v>
      </c>
      <c r="AK308" s="1" t="s">
        <v>152</v>
      </c>
      <c r="AL308" s="1"/>
    </row>
    <row r="309" spans="1:38" hidden="1" x14ac:dyDescent="0.25">
      <c r="A309" s="24">
        <f t="shared" si="117"/>
        <v>308</v>
      </c>
      <c r="B309" s="27" t="s">
        <v>1038</v>
      </c>
      <c r="C309" s="25" t="s">
        <v>1039</v>
      </c>
      <c r="D309" s="25" t="s">
        <v>1040</v>
      </c>
      <c r="E309" s="25" t="s">
        <v>1076</v>
      </c>
      <c r="F309" s="25" t="s">
        <v>1077</v>
      </c>
      <c r="G309" s="25" t="s">
        <v>90</v>
      </c>
      <c r="H309" s="25" t="s">
        <v>91</v>
      </c>
      <c r="I309" s="25" t="s">
        <v>1083</v>
      </c>
      <c r="J309" s="25" t="s">
        <v>38</v>
      </c>
      <c r="K309" s="25">
        <v>60</v>
      </c>
      <c r="L309" s="25" t="s">
        <v>39</v>
      </c>
      <c r="M309" s="25" t="s">
        <v>58</v>
      </c>
      <c r="N309" s="23" t="s">
        <v>55</v>
      </c>
      <c r="O309" s="23" t="s">
        <v>59</v>
      </c>
      <c r="P309" s="23" t="s">
        <v>60</v>
      </c>
      <c r="Q309" s="23">
        <v>3</v>
      </c>
      <c r="R309" s="23" t="s">
        <v>61</v>
      </c>
      <c r="S309" s="23">
        <v>80</v>
      </c>
      <c r="T309" s="23">
        <v>90</v>
      </c>
      <c r="U309" s="23" t="s">
        <v>58</v>
      </c>
      <c r="V309" s="23" t="s">
        <v>62</v>
      </c>
      <c r="W309" s="23"/>
      <c r="X309" s="23" t="e">
        <f>IF(COUNTIF(#REF!,_xlfn.TEXTJOIN(".",,C309,F309,H309)),"是","否")</f>
        <v>#REF!</v>
      </c>
      <c r="Y309" s="23" t="e">
        <f t="shared" si="118"/>
        <v>#REF!</v>
      </c>
      <c r="Z309" s="23" t="s">
        <v>55</v>
      </c>
      <c r="AA309" s="27" t="s">
        <v>55</v>
      </c>
      <c r="AB309" s="27" t="s">
        <v>60</v>
      </c>
      <c r="AC309" s="27">
        <v>3</v>
      </c>
      <c r="AD309" s="27" t="s">
        <v>61</v>
      </c>
      <c r="AE309" s="27">
        <v>80</v>
      </c>
      <c r="AF309" s="27">
        <v>90</v>
      </c>
      <c r="AG309" s="27" t="s">
        <v>1082</v>
      </c>
      <c r="AH309" s="27" t="s">
        <v>58</v>
      </c>
      <c r="AI309" s="27" t="s">
        <v>62</v>
      </c>
      <c r="AJ309" s="1" t="str">
        <f t="shared" si="119"/>
        <v>AGT.ECS.instance_id,mount_point.disk_inodesUsedPercent</v>
      </c>
      <c r="AK309" s="1" t="s">
        <v>152</v>
      </c>
      <c r="AL309" s="1"/>
    </row>
    <row r="310" spans="1:38" hidden="1" x14ac:dyDescent="0.25">
      <c r="A310" s="24">
        <f t="shared" si="117"/>
        <v>309</v>
      </c>
      <c r="B310" s="27" t="s">
        <v>1038</v>
      </c>
      <c r="C310" s="25" t="s">
        <v>1039</v>
      </c>
      <c r="D310" s="25" t="s">
        <v>1040</v>
      </c>
      <c r="E310" s="25" t="s">
        <v>1076</v>
      </c>
      <c r="F310" s="25" t="s">
        <v>1077</v>
      </c>
      <c r="G310" s="25" t="s">
        <v>1084</v>
      </c>
      <c r="H310" s="25" t="s">
        <v>1085</v>
      </c>
      <c r="I310" s="25" t="s">
        <v>1086</v>
      </c>
      <c r="J310" s="25" t="s">
        <v>38</v>
      </c>
      <c r="K310" s="25">
        <v>60</v>
      </c>
      <c r="L310" s="25" t="s">
        <v>39</v>
      </c>
      <c r="M310" s="25"/>
      <c r="N310" s="23" t="s">
        <v>55</v>
      </c>
      <c r="O310" s="23" t="s">
        <v>59</v>
      </c>
      <c r="P310" s="23" t="s">
        <v>60</v>
      </c>
      <c r="Q310" s="23">
        <v>2</v>
      </c>
      <c r="R310" s="23" t="s">
        <v>136</v>
      </c>
      <c r="S310" s="23"/>
      <c r="T310" s="23">
        <v>1</v>
      </c>
      <c r="U310" s="23" t="s">
        <v>571</v>
      </c>
      <c r="V310" s="23" t="s">
        <v>62</v>
      </c>
      <c r="W310" s="23"/>
      <c r="X310" s="23" t="e">
        <f>IF(COUNTIF(#REF!,_xlfn.TEXTJOIN(".",,C310,F310,H310)),"是","否")</f>
        <v>#REF!</v>
      </c>
      <c r="Y310" s="23" t="e">
        <f t="shared" si="118"/>
        <v>#REF!</v>
      </c>
      <c r="Z310" s="23" t="s">
        <v>55</v>
      </c>
      <c r="AA310" s="27" t="s">
        <v>55</v>
      </c>
      <c r="AB310" s="27" t="s">
        <v>60</v>
      </c>
      <c r="AC310" s="27">
        <v>2</v>
      </c>
      <c r="AD310" s="27" t="s">
        <v>136</v>
      </c>
      <c r="AE310" s="27">
        <v>1</v>
      </c>
      <c r="AF310" s="27"/>
      <c r="AG310" s="27" t="s">
        <v>1082</v>
      </c>
      <c r="AH310" s="27"/>
      <c r="AI310" s="27" t="s">
        <v>62</v>
      </c>
      <c r="AJ310" s="1" t="str">
        <f t="shared" si="119"/>
        <v>AGT.ECS.instance_id,mount_point.disk_fs_rwstate</v>
      </c>
      <c r="AK310" s="1" t="s">
        <v>302</v>
      </c>
      <c r="AL310" s="1"/>
    </row>
    <row r="311" spans="1:38" hidden="1" x14ac:dyDescent="0.25">
      <c r="A311" s="24">
        <f t="shared" si="117"/>
        <v>310</v>
      </c>
      <c r="B311" s="27" t="s">
        <v>1038</v>
      </c>
      <c r="C311" s="25" t="s">
        <v>1039</v>
      </c>
      <c r="D311" s="25" t="s">
        <v>1040</v>
      </c>
      <c r="E311" s="25" t="s">
        <v>1076</v>
      </c>
      <c r="F311" s="25" t="s">
        <v>1077</v>
      </c>
      <c r="G311" s="25" t="s">
        <v>92</v>
      </c>
      <c r="H311" s="25" t="s">
        <v>93</v>
      </c>
      <c r="I311" s="25" t="s">
        <v>1065</v>
      </c>
      <c r="J311" s="22" t="s">
        <v>38</v>
      </c>
      <c r="K311" s="22">
        <v>60</v>
      </c>
      <c r="L311" s="22" t="s">
        <v>39</v>
      </c>
      <c r="M311" s="22" t="s">
        <v>58</v>
      </c>
      <c r="N311" s="23" t="s">
        <v>55</v>
      </c>
      <c r="O311" s="23" t="s">
        <v>59</v>
      </c>
      <c r="P311" s="23" t="s">
        <v>60</v>
      </c>
      <c r="Q311" s="23">
        <v>3</v>
      </c>
      <c r="R311" s="23" t="s">
        <v>61</v>
      </c>
      <c r="S311" s="23"/>
      <c r="T311" s="23">
        <v>90</v>
      </c>
      <c r="U311" s="23" t="s">
        <v>58</v>
      </c>
      <c r="V311" s="23" t="s">
        <v>946</v>
      </c>
      <c r="W311" s="23"/>
      <c r="X311" s="23" t="e">
        <f>IF(COUNTIF(#REF!,_xlfn.TEXTJOIN(".",,C311,F311,H311)),"是","否")</f>
        <v>#REF!</v>
      </c>
      <c r="Y311" s="23" t="e">
        <f t="shared" si="118"/>
        <v>#REF!</v>
      </c>
      <c r="Z311" s="23" t="s">
        <v>55</v>
      </c>
      <c r="AA311" s="23"/>
      <c r="AB311" s="23"/>
      <c r="AC311" s="23"/>
      <c r="AD311" s="23"/>
      <c r="AE311" s="23"/>
      <c r="AF311" s="23"/>
      <c r="AG311" s="23"/>
      <c r="AH311" s="23"/>
      <c r="AI311" s="23"/>
      <c r="AJ311" s="1" t="str">
        <f t="shared" si="119"/>
        <v>AGT.ECS.instance_id,mount_point.disk_ioUtils</v>
      </c>
      <c r="AK311" s="1" t="s">
        <v>152</v>
      </c>
      <c r="AL311" s="1"/>
    </row>
    <row r="312" spans="1:38" hidden="1" x14ac:dyDescent="0.25">
      <c r="A312" s="24">
        <f t="shared" si="117"/>
        <v>311</v>
      </c>
      <c r="B312" s="27" t="s">
        <v>1038</v>
      </c>
      <c r="C312" s="25" t="s">
        <v>1039</v>
      </c>
      <c r="D312" s="25" t="s">
        <v>1040</v>
      </c>
      <c r="E312" s="25" t="s">
        <v>1087</v>
      </c>
      <c r="F312" s="25" t="s">
        <v>1088</v>
      </c>
      <c r="G312" s="25" t="s">
        <v>790</v>
      </c>
      <c r="H312" s="25" t="s">
        <v>791</v>
      </c>
      <c r="I312" s="25" t="s">
        <v>1089</v>
      </c>
      <c r="J312" s="25" t="s">
        <v>38</v>
      </c>
      <c r="K312" s="25">
        <v>60</v>
      </c>
      <c r="L312" s="25" t="s">
        <v>39</v>
      </c>
      <c r="M312" s="25"/>
      <c r="N312" s="23" t="s">
        <v>55</v>
      </c>
      <c r="O312" s="35" t="s">
        <v>59</v>
      </c>
      <c r="P312" s="23" t="s">
        <v>60</v>
      </c>
      <c r="Q312" s="23">
        <v>1</v>
      </c>
      <c r="R312" s="23" t="s">
        <v>136</v>
      </c>
      <c r="S312" s="23">
        <v>2</v>
      </c>
      <c r="T312" s="23">
        <v>3</v>
      </c>
      <c r="U312" s="23" t="s">
        <v>571</v>
      </c>
      <c r="V312" s="23" t="s">
        <v>62</v>
      </c>
      <c r="W312" s="23"/>
      <c r="X312" s="23" t="e">
        <f>IF(COUNTIF(#REF!,_xlfn.TEXTJOIN(".",,C312,F312,H312)),"是","否")</f>
        <v>#REF!</v>
      </c>
      <c r="Y312" s="23" t="e">
        <f t="shared" si="118"/>
        <v>#REF!</v>
      </c>
      <c r="Z312" s="23" t="s">
        <v>55</v>
      </c>
      <c r="AA312" s="23"/>
      <c r="AB312" s="23"/>
      <c r="AC312" s="23"/>
      <c r="AD312" s="23"/>
      <c r="AE312" s="23"/>
      <c r="AF312" s="23"/>
      <c r="AG312" s="23"/>
      <c r="AH312" s="23"/>
      <c r="AI312" s="23"/>
      <c r="AJ312" s="1" t="str">
        <f t="shared" si="119"/>
        <v>AGT.ECS.instance_id,npu.npu_device_health</v>
      </c>
      <c r="AK312" s="1" t="s">
        <v>302</v>
      </c>
      <c r="AL312" s="1"/>
    </row>
    <row r="313" spans="1:38" hidden="1" x14ac:dyDescent="0.25">
      <c r="A313" s="24">
        <f t="shared" ref="A313:A316" si="120">ROW()-1</f>
        <v>312</v>
      </c>
      <c r="B313" s="25" t="s">
        <v>1093</v>
      </c>
      <c r="C313" s="25" t="s">
        <v>1094</v>
      </c>
      <c r="D313" s="25" t="s">
        <v>1095</v>
      </c>
      <c r="E313" s="25" t="s">
        <v>1096</v>
      </c>
      <c r="F313" s="25" t="s">
        <v>71</v>
      </c>
      <c r="G313" s="25" t="s">
        <v>72</v>
      </c>
      <c r="H313" s="25" t="s">
        <v>73</v>
      </c>
      <c r="I313" s="25" t="s">
        <v>108</v>
      </c>
      <c r="J313" s="25" t="s">
        <v>38</v>
      </c>
      <c r="K313" s="25">
        <v>60</v>
      </c>
      <c r="L313" s="25"/>
      <c r="M313" s="25" t="s">
        <v>58</v>
      </c>
      <c r="N313" s="23" t="s">
        <v>55</v>
      </c>
      <c r="O313" s="23" t="s">
        <v>59</v>
      </c>
      <c r="P313" s="23" t="s">
        <v>60</v>
      </c>
      <c r="Q313" s="23">
        <v>3</v>
      </c>
      <c r="R313" s="23" t="s">
        <v>61</v>
      </c>
      <c r="S313" s="23">
        <v>80</v>
      </c>
      <c r="T313" s="23">
        <v>90</v>
      </c>
      <c r="U313" s="23" t="s">
        <v>58</v>
      </c>
      <c r="V313" s="23" t="s">
        <v>62</v>
      </c>
      <c r="W313" s="23"/>
      <c r="X313" s="23" t="e">
        <f>IF(COUNTIF(#REF!,_xlfn.TEXTJOIN(".",,C313,F313,H313)),"是","否")</f>
        <v>#REF!</v>
      </c>
      <c r="Y313" s="23" t="e">
        <f t="shared" ref="Y313:Y316" si="121">IF(AND(O313="底线指标",X313="是"),"是","否")</f>
        <v>#REF!</v>
      </c>
      <c r="Z313" s="23"/>
      <c r="AA313" s="23" t="s">
        <v>55</v>
      </c>
      <c r="AB313" s="23" t="s">
        <v>60</v>
      </c>
      <c r="AC313" s="23">
        <v>3</v>
      </c>
      <c r="AD313" s="23" t="s">
        <v>61</v>
      </c>
      <c r="AE313" s="23">
        <v>90</v>
      </c>
      <c r="AF313" s="23"/>
      <c r="AG313" s="23"/>
      <c r="AH313" s="23" t="s">
        <v>58</v>
      </c>
      <c r="AI313" s="23" t="s">
        <v>62</v>
      </c>
      <c r="AJ313" s="1" t="str">
        <f t="shared" ref="AJ313:AJ316" si="122">_xlfn.TEXTJOIN(".",TRUE,C313,F313,H313)</f>
        <v>SYS.DRS.instance_id.cpu_util</v>
      </c>
      <c r="AK313" s="1" t="s">
        <v>152</v>
      </c>
      <c r="AL313" s="1"/>
    </row>
    <row r="314" spans="1:38" hidden="1" x14ac:dyDescent="0.25">
      <c r="A314" s="24">
        <f t="shared" si="120"/>
        <v>313</v>
      </c>
      <c r="B314" s="25" t="s">
        <v>1093</v>
      </c>
      <c r="C314" s="25" t="s">
        <v>1094</v>
      </c>
      <c r="D314" s="25" t="s">
        <v>1095</v>
      </c>
      <c r="E314" s="25" t="s">
        <v>1096</v>
      </c>
      <c r="F314" s="25" t="s">
        <v>71</v>
      </c>
      <c r="G314" s="25" t="s">
        <v>76</v>
      </c>
      <c r="H314" s="25" t="s">
        <v>77</v>
      </c>
      <c r="I314" s="25" t="s">
        <v>110</v>
      </c>
      <c r="J314" s="25" t="s">
        <v>38</v>
      </c>
      <c r="K314" s="25">
        <v>60</v>
      </c>
      <c r="L314" s="25"/>
      <c r="M314" s="25" t="s">
        <v>58</v>
      </c>
      <c r="N314" s="23" t="s">
        <v>55</v>
      </c>
      <c r="O314" s="23" t="s">
        <v>59</v>
      </c>
      <c r="P314" s="23" t="s">
        <v>60</v>
      </c>
      <c r="Q314" s="23">
        <v>3</v>
      </c>
      <c r="R314" s="23" t="s">
        <v>61</v>
      </c>
      <c r="S314" s="23">
        <v>85</v>
      </c>
      <c r="T314" s="23">
        <v>90</v>
      </c>
      <c r="U314" s="23" t="s">
        <v>58</v>
      </c>
      <c r="V314" s="23" t="s">
        <v>62</v>
      </c>
      <c r="W314" s="23"/>
      <c r="X314" s="23" t="e">
        <f>IF(COUNTIF(#REF!,_xlfn.TEXTJOIN(".",,C314,F314,H314)),"是","否")</f>
        <v>#REF!</v>
      </c>
      <c r="Y314" s="23" t="e">
        <f t="shared" si="121"/>
        <v>#REF!</v>
      </c>
      <c r="Z314" s="23"/>
      <c r="AA314" s="23" t="s">
        <v>55</v>
      </c>
      <c r="AB314" s="23" t="s">
        <v>60</v>
      </c>
      <c r="AC314" s="23">
        <v>3</v>
      </c>
      <c r="AD314" s="23" t="s">
        <v>61</v>
      </c>
      <c r="AE314" s="23">
        <v>90</v>
      </c>
      <c r="AF314" s="23"/>
      <c r="AG314" s="23"/>
      <c r="AH314" s="23" t="s">
        <v>58</v>
      </c>
      <c r="AI314" s="23" t="s">
        <v>62</v>
      </c>
      <c r="AJ314" s="1" t="str">
        <f t="shared" si="122"/>
        <v>SYS.DRS.instance_id.mem_util</v>
      </c>
      <c r="AK314" s="1" t="s">
        <v>152</v>
      </c>
      <c r="AL314" s="1"/>
    </row>
    <row r="315" spans="1:38" hidden="1" x14ac:dyDescent="0.25">
      <c r="A315" s="24">
        <f t="shared" si="120"/>
        <v>314</v>
      </c>
      <c r="B315" s="25" t="s">
        <v>1093</v>
      </c>
      <c r="C315" s="25" t="s">
        <v>1094</v>
      </c>
      <c r="D315" s="25" t="s">
        <v>1095</v>
      </c>
      <c r="E315" s="25" t="s">
        <v>1096</v>
      </c>
      <c r="F315" s="25" t="s">
        <v>71</v>
      </c>
      <c r="G315" s="25" t="s">
        <v>344</v>
      </c>
      <c r="H315" s="25" t="s">
        <v>463</v>
      </c>
      <c r="I315" s="25" t="s">
        <v>81</v>
      </c>
      <c r="J315" s="25" t="s">
        <v>38</v>
      </c>
      <c r="K315" s="25">
        <v>60</v>
      </c>
      <c r="L315" s="25"/>
      <c r="M315" s="25" t="s">
        <v>58</v>
      </c>
      <c r="N315" s="23" t="s">
        <v>55</v>
      </c>
      <c r="O315" s="23" t="s">
        <v>59</v>
      </c>
      <c r="P315" s="23" t="s">
        <v>60</v>
      </c>
      <c r="Q315" s="23">
        <v>3</v>
      </c>
      <c r="R315" s="23" t="s">
        <v>61</v>
      </c>
      <c r="S315" s="23">
        <v>80</v>
      </c>
      <c r="T315" s="23">
        <v>90</v>
      </c>
      <c r="U315" s="23" t="s">
        <v>58</v>
      </c>
      <c r="V315" s="23" t="s">
        <v>62</v>
      </c>
      <c r="W315" s="23"/>
      <c r="X315" s="23" t="e">
        <f>IF(COUNTIF(#REF!,_xlfn.TEXTJOIN(".",,C315,F315,H315)),"是","否")</f>
        <v>#REF!</v>
      </c>
      <c r="Y315" s="23" t="e">
        <f t="shared" si="121"/>
        <v>#REF!</v>
      </c>
      <c r="Z315" s="23"/>
      <c r="AA315" s="23" t="s">
        <v>55</v>
      </c>
      <c r="AB315" s="23" t="s">
        <v>60</v>
      </c>
      <c r="AC315" s="23">
        <v>3</v>
      </c>
      <c r="AD315" s="23" t="s">
        <v>61</v>
      </c>
      <c r="AE315" s="23">
        <v>80</v>
      </c>
      <c r="AF315" s="23"/>
      <c r="AG315" s="23"/>
      <c r="AH315" s="23" t="s">
        <v>58</v>
      </c>
      <c r="AI315" s="23" t="s">
        <v>62</v>
      </c>
      <c r="AJ315" s="1" t="str">
        <f t="shared" si="122"/>
        <v>SYS.DRS.instance_id.disk_util</v>
      </c>
      <c r="AK315" s="1" t="s">
        <v>152</v>
      </c>
      <c r="AL315" s="1"/>
    </row>
    <row r="316" spans="1:38" hidden="1" x14ac:dyDescent="0.25">
      <c r="A316" s="24">
        <f t="shared" si="120"/>
        <v>315</v>
      </c>
      <c r="B316" s="25" t="s">
        <v>1093</v>
      </c>
      <c r="C316" s="25" t="s">
        <v>1094</v>
      </c>
      <c r="D316" s="25" t="s">
        <v>1095</v>
      </c>
      <c r="E316" s="25" t="s">
        <v>1096</v>
      </c>
      <c r="F316" s="25" t="s">
        <v>71</v>
      </c>
      <c r="G316" s="25" t="s">
        <v>1097</v>
      </c>
      <c r="H316" s="25" t="s">
        <v>920</v>
      </c>
      <c r="I316" s="25" t="s">
        <v>1098</v>
      </c>
      <c r="J316" s="25" t="s">
        <v>38</v>
      </c>
      <c r="K316" s="25">
        <v>60</v>
      </c>
      <c r="L316" s="25"/>
      <c r="M316" s="25" t="s">
        <v>44</v>
      </c>
      <c r="N316" s="23" t="s">
        <v>55</v>
      </c>
      <c r="O316" s="23" t="s">
        <v>59</v>
      </c>
      <c r="P316" s="23" t="s">
        <v>60</v>
      </c>
      <c r="Q316" s="23">
        <v>3</v>
      </c>
      <c r="R316" s="23" t="s">
        <v>61</v>
      </c>
      <c r="S316" s="22">
        <v>300000</v>
      </c>
      <c r="T316" s="26">
        <v>600000</v>
      </c>
      <c r="U316" s="23" t="s">
        <v>44</v>
      </c>
      <c r="V316" s="23" t="s">
        <v>62</v>
      </c>
      <c r="W316" s="23"/>
      <c r="X316" s="23" t="e">
        <f>IF(COUNTIF(#REF!,_xlfn.TEXTJOIN(".",,C316,F316,H316)),"是","否")</f>
        <v>#REF!</v>
      </c>
      <c r="Y316" s="23" t="e">
        <f t="shared" si="121"/>
        <v>#REF!</v>
      </c>
      <c r="Z316" s="23"/>
      <c r="AA316" s="23" t="s">
        <v>55</v>
      </c>
      <c r="AB316" s="23" t="s">
        <v>60</v>
      </c>
      <c r="AC316" s="23">
        <v>3</v>
      </c>
      <c r="AD316" s="23" t="s">
        <v>61</v>
      </c>
      <c r="AE316" s="23">
        <v>600000</v>
      </c>
      <c r="AF316" s="23"/>
      <c r="AG316" s="23"/>
      <c r="AH316" s="23" t="s">
        <v>44</v>
      </c>
      <c r="AI316" s="23" t="s">
        <v>62</v>
      </c>
      <c r="AJ316" s="1" t="str">
        <f t="shared" si="122"/>
        <v>SYS.DRS.instance_id.extract_latency</v>
      </c>
      <c r="AK316" s="1" t="s">
        <v>302</v>
      </c>
      <c r="AL316" s="1"/>
    </row>
    <row r="317" spans="1:38" hidden="1" x14ac:dyDescent="0.25">
      <c r="A317" s="24">
        <f t="shared" ref="A317:A333" si="123">ROW()-1</f>
        <v>316</v>
      </c>
      <c r="B317" s="25" t="s">
        <v>1093</v>
      </c>
      <c r="C317" s="25" t="s">
        <v>1094</v>
      </c>
      <c r="D317" s="25" t="s">
        <v>1095</v>
      </c>
      <c r="E317" s="25" t="s">
        <v>1096</v>
      </c>
      <c r="F317" s="25" t="s">
        <v>71</v>
      </c>
      <c r="G317" s="25" t="s">
        <v>369</v>
      </c>
      <c r="H317" s="25" t="s">
        <v>922</v>
      </c>
      <c r="I317" s="25" t="s">
        <v>1099</v>
      </c>
      <c r="J317" s="25" t="s">
        <v>38</v>
      </c>
      <c r="K317" s="25">
        <v>60</v>
      </c>
      <c r="L317" s="25"/>
      <c r="M317" s="25" t="s">
        <v>44</v>
      </c>
      <c r="N317" s="23" t="s">
        <v>55</v>
      </c>
      <c r="O317" s="23" t="s">
        <v>59</v>
      </c>
      <c r="P317" s="23" t="s">
        <v>60</v>
      </c>
      <c r="Q317" s="23">
        <v>3</v>
      </c>
      <c r="R317" s="23" t="s">
        <v>61</v>
      </c>
      <c r="S317" s="22">
        <v>300000</v>
      </c>
      <c r="T317" s="26">
        <v>600000</v>
      </c>
      <c r="U317" s="23" t="s">
        <v>44</v>
      </c>
      <c r="V317" s="23" t="s">
        <v>62</v>
      </c>
      <c r="W317" s="23"/>
      <c r="X317" s="23" t="e">
        <f>IF(COUNTIF(#REF!,_xlfn.TEXTJOIN(".",,C317,F317,H317)),"是","否")</f>
        <v>#REF!</v>
      </c>
      <c r="Y317" s="23" t="e">
        <f t="shared" ref="Y317:Y333" si="124">IF(AND(O317="底线指标",X317="是"),"是","否")</f>
        <v>#REF!</v>
      </c>
      <c r="Z317" s="23"/>
      <c r="AA317" s="23" t="s">
        <v>55</v>
      </c>
      <c r="AB317" s="23" t="s">
        <v>60</v>
      </c>
      <c r="AC317" s="23">
        <v>3</v>
      </c>
      <c r="AD317" s="23" t="s">
        <v>61</v>
      </c>
      <c r="AE317" s="23">
        <v>600000</v>
      </c>
      <c r="AF317" s="23"/>
      <c r="AG317" s="23"/>
      <c r="AH317" s="23" t="s">
        <v>44</v>
      </c>
      <c r="AI317" s="23" t="s">
        <v>62</v>
      </c>
      <c r="AJ317" s="1" t="str">
        <f t="shared" ref="AJ317:AJ333" si="125">_xlfn.TEXTJOIN(".",TRUE,C317,F317,H317)</f>
        <v>SYS.DRS.instance_id.apply_latency</v>
      </c>
      <c r="AK317" s="1" t="s">
        <v>302</v>
      </c>
      <c r="AL317" s="1"/>
    </row>
    <row r="318" spans="1:38" hidden="1" x14ac:dyDescent="0.25">
      <c r="A318" s="24">
        <f t="shared" si="123"/>
        <v>317</v>
      </c>
      <c r="B318" s="25" t="s">
        <v>1093</v>
      </c>
      <c r="C318" s="25" t="s">
        <v>1094</v>
      </c>
      <c r="D318" s="25" t="s">
        <v>1095</v>
      </c>
      <c r="E318" s="25" t="s">
        <v>1096</v>
      </c>
      <c r="F318" s="25" t="s">
        <v>71</v>
      </c>
      <c r="G318" s="25" t="s">
        <v>923</v>
      </c>
      <c r="H318" s="25" t="s">
        <v>924</v>
      </c>
      <c r="I318" s="25" t="s">
        <v>1100</v>
      </c>
      <c r="J318" s="25" t="s">
        <v>38</v>
      </c>
      <c r="K318" s="25">
        <v>60</v>
      </c>
      <c r="L318" s="25"/>
      <c r="M318" s="25"/>
      <c r="N318" s="23" t="s">
        <v>55</v>
      </c>
      <c r="O318" s="23" t="s">
        <v>59</v>
      </c>
      <c r="P318" s="23" t="s">
        <v>60</v>
      </c>
      <c r="Q318" s="23">
        <v>3</v>
      </c>
      <c r="R318" s="23" t="s">
        <v>136</v>
      </c>
      <c r="S318" s="23"/>
      <c r="T318" s="23">
        <v>10</v>
      </c>
      <c r="U318" s="23" t="s">
        <v>571</v>
      </c>
      <c r="V318" s="23" t="s">
        <v>62</v>
      </c>
      <c r="W318" s="23"/>
      <c r="X318" s="23" t="e">
        <f>IF(COUNTIF(#REF!,_xlfn.TEXTJOIN(".",,C318,F318,H318)),"是","否")</f>
        <v>#REF!</v>
      </c>
      <c r="Y318" s="23" t="e">
        <f t="shared" si="124"/>
        <v>#REF!</v>
      </c>
      <c r="Z318" s="23"/>
      <c r="AA318" s="23"/>
      <c r="AB318" s="23"/>
      <c r="AC318" s="23"/>
      <c r="AD318" s="23"/>
      <c r="AE318" s="23"/>
      <c r="AF318" s="23"/>
      <c r="AG318" s="23"/>
      <c r="AH318" s="23"/>
      <c r="AI318" s="23"/>
      <c r="AJ318" s="1" t="str">
        <f t="shared" si="125"/>
        <v>SYS.DRS.instance_id.apply_current_state</v>
      </c>
      <c r="AK318" s="1" t="s">
        <v>302</v>
      </c>
      <c r="AL318" s="1"/>
    </row>
    <row r="319" spans="1:38" hidden="1" x14ac:dyDescent="0.25">
      <c r="A319" s="24">
        <f t="shared" si="123"/>
        <v>318</v>
      </c>
      <c r="B319" s="25" t="s">
        <v>1093</v>
      </c>
      <c r="C319" s="25" t="s">
        <v>1094</v>
      </c>
      <c r="D319" s="25" t="s">
        <v>1095</v>
      </c>
      <c r="E319" s="25" t="s">
        <v>1096</v>
      </c>
      <c r="F319" s="25" t="s">
        <v>71</v>
      </c>
      <c r="G319" s="25" t="s">
        <v>925</v>
      </c>
      <c r="H319" s="25" t="s">
        <v>926</v>
      </c>
      <c r="I319" s="22" t="s">
        <v>927</v>
      </c>
      <c r="J319" s="22" t="s">
        <v>38</v>
      </c>
      <c r="K319" s="22">
        <v>60</v>
      </c>
      <c r="L319" s="22"/>
      <c r="M319" s="22"/>
      <c r="N319" s="23" t="s">
        <v>55</v>
      </c>
      <c r="O319" s="23" t="s">
        <v>59</v>
      </c>
      <c r="P319" s="23" t="s">
        <v>60</v>
      </c>
      <c r="Q319" s="23">
        <v>3</v>
      </c>
      <c r="R319" s="23" t="s">
        <v>61</v>
      </c>
      <c r="S319" s="23">
        <v>80</v>
      </c>
      <c r="T319" s="23"/>
      <c r="U319" s="22" t="s">
        <v>172</v>
      </c>
      <c r="V319" s="23" t="s">
        <v>62</v>
      </c>
      <c r="W319" s="23"/>
      <c r="X319" s="23" t="e">
        <f>IF(COUNTIF(#REF!,_xlfn.TEXTJOIN(".",,C319,F319,H319)),"是","否")</f>
        <v>#REF!</v>
      </c>
      <c r="Y319" s="23" t="e">
        <f t="shared" si="124"/>
        <v>#REF!</v>
      </c>
      <c r="Z319" s="23"/>
      <c r="AA319" s="23" t="s">
        <v>55</v>
      </c>
      <c r="AB319" s="23" t="s">
        <v>60</v>
      </c>
      <c r="AC319" s="23">
        <v>3</v>
      </c>
      <c r="AD319" s="23" t="s">
        <v>61</v>
      </c>
      <c r="AE319" s="23">
        <v>80</v>
      </c>
      <c r="AF319" s="23"/>
      <c r="AG319" s="23"/>
      <c r="AH319" s="23"/>
      <c r="AI319" s="23" t="s">
        <v>62</v>
      </c>
      <c r="AJ319" s="1" t="str">
        <f t="shared" si="125"/>
        <v>SYS.DRS.instance_id.apply_thread_workers</v>
      </c>
      <c r="AK319" s="1"/>
      <c r="AL319" s="1"/>
    </row>
    <row r="320" spans="1:38" hidden="1" x14ac:dyDescent="0.25">
      <c r="A320" s="24">
        <f t="shared" si="123"/>
        <v>319</v>
      </c>
      <c r="B320" s="25" t="s">
        <v>1093</v>
      </c>
      <c r="C320" s="25" t="s">
        <v>1094</v>
      </c>
      <c r="D320" s="25" t="s">
        <v>1095</v>
      </c>
      <c r="E320" s="25" t="s">
        <v>1096</v>
      </c>
      <c r="F320" s="25" t="s">
        <v>71</v>
      </c>
      <c r="G320" s="25" t="s">
        <v>432</v>
      </c>
      <c r="H320" s="25" t="s">
        <v>1101</v>
      </c>
      <c r="I320" s="25" t="s">
        <v>1102</v>
      </c>
      <c r="J320" s="25" t="s">
        <v>38</v>
      </c>
      <c r="K320" s="25">
        <v>60</v>
      </c>
      <c r="L320" s="25" t="s">
        <v>45</v>
      </c>
      <c r="M320" s="25"/>
      <c r="N320" s="23" t="s">
        <v>55</v>
      </c>
      <c r="O320" s="23" t="s">
        <v>59</v>
      </c>
      <c r="P320" s="23" t="s">
        <v>60</v>
      </c>
      <c r="Q320" s="23">
        <v>3</v>
      </c>
      <c r="R320" s="23" t="s">
        <v>136</v>
      </c>
      <c r="S320" s="23"/>
      <c r="T320" s="23">
        <v>1</v>
      </c>
      <c r="U320" s="23" t="s">
        <v>571</v>
      </c>
      <c r="V320" s="23" t="s">
        <v>62</v>
      </c>
      <c r="W320" s="23"/>
      <c r="X320" s="23" t="e">
        <f>IF(COUNTIF(#REF!,_xlfn.TEXTJOIN(".",,C320,F320,H320)),"是","否")</f>
        <v>#REF!</v>
      </c>
      <c r="Y320" s="23" t="e">
        <f t="shared" si="124"/>
        <v>#REF!</v>
      </c>
      <c r="Z320" s="23"/>
      <c r="AA320" s="23" t="s">
        <v>55</v>
      </c>
      <c r="AB320" s="23" t="s">
        <v>60</v>
      </c>
      <c r="AC320" s="23">
        <v>1</v>
      </c>
      <c r="AD320" s="23" t="s">
        <v>136</v>
      </c>
      <c r="AE320" s="23">
        <v>10</v>
      </c>
      <c r="AF320" s="23"/>
      <c r="AG320" s="23"/>
      <c r="AH320" s="23"/>
      <c r="AI320" s="23" t="s">
        <v>62</v>
      </c>
      <c r="AJ320" s="1" t="str">
        <f t="shared" si="125"/>
        <v>SYS.DRS.instance_id.apply_job_status</v>
      </c>
      <c r="AK320" s="1" t="s">
        <v>302</v>
      </c>
      <c r="AL320" s="1"/>
    </row>
    <row r="321" spans="1:38" hidden="1" x14ac:dyDescent="0.25">
      <c r="A321" s="24">
        <f t="shared" si="123"/>
        <v>320</v>
      </c>
      <c r="B321" s="27" t="s">
        <v>1106</v>
      </c>
      <c r="C321" s="25" t="s">
        <v>1107</v>
      </c>
      <c r="D321" s="25" t="s">
        <v>1106</v>
      </c>
      <c r="E321" s="25" t="s">
        <v>1108</v>
      </c>
      <c r="F321" s="25" t="s">
        <v>1109</v>
      </c>
      <c r="G321" s="25" t="s">
        <v>1111</v>
      </c>
      <c r="H321" s="25" t="s">
        <v>1112</v>
      </c>
      <c r="I321" s="25" t="s">
        <v>1113</v>
      </c>
      <c r="J321" s="25" t="s">
        <v>38</v>
      </c>
      <c r="K321" s="25">
        <v>60</v>
      </c>
      <c r="L321" s="25" t="s">
        <v>39</v>
      </c>
      <c r="M321" s="25" t="s">
        <v>139</v>
      </c>
      <c r="N321" s="23" t="s">
        <v>55</v>
      </c>
      <c r="O321" s="23" t="s">
        <v>59</v>
      </c>
      <c r="P321" s="23" t="s">
        <v>60</v>
      </c>
      <c r="Q321" s="23">
        <v>3</v>
      </c>
      <c r="R321" s="23" t="s">
        <v>61</v>
      </c>
      <c r="S321" s="23" t="s">
        <v>1110</v>
      </c>
      <c r="T321" s="23">
        <v>10000</v>
      </c>
      <c r="U321" s="23" t="s">
        <v>44</v>
      </c>
      <c r="V321" s="23" t="s">
        <v>62</v>
      </c>
      <c r="W321" s="23"/>
      <c r="X321" s="23" t="e">
        <f>IF(COUNTIF(#REF!,_xlfn.TEXTJOIN(".",,C321,F321,H321)),"是","否")</f>
        <v>#REF!</v>
      </c>
      <c r="Y321" s="23" t="e">
        <f t="shared" si="124"/>
        <v>#REF!</v>
      </c>
      <c r="Z321" s="23"/>
      <c r="AA321" s="23"/>
      <c r="AB321" s="23"/>
      <c r="AC321" s="23"/>
      <c r="AD321" s="23"/>
      <c r="AE321" s="23"/>
      <c r="AF321" s="23"/>
      <c r="AG321" s="23"/>
      <c r="AH321" s="23"/>
      <c r="AI321" s="23"/>
      <c r="AJ321" s="1" t="str">
        <f t="shared" si="125"/>
        <v>SYS.MaaS.maas_api_id.ttft</v>
      </c>
      <c r="AK321" s="1"/>
      <c r="AL321" s="1"/>
    </row>
    <row r="322" spans="1:38" hidden="1" x14ac:dyDescent="0.25">
      <c r="A322" s="24">
        <f t="shared" si="123"/>
        <v>321</v>
      </c>
      <c r="B322" s="27" t="s">
        <v>1106</v>
      </c>
      <c r="C322" s="25" t="s">
        <v>1107</v>
      </c>
      <c r="D322" s="25" t="s">
        <v>1106</v>
      </c>
      <c r="E322" s="25" t="s">
        <v>1108</v>
      </c>
      <c r="F322" s="25" t="s">
        <v>1109</v>
      </c>
      <c r="G322" s="25" t="s">
        <v>1114</v>
      </c>
      <c r="H322" s="25" t="s">
        <v>1115</v>
      </c>
      <c r="I322" s="25" t="s">
        <v>1116</v>
      </c>
      <c r="J322" s="25" t="s">
        <v>38</v>
      </c>
      <c r="K322" s="25">
        <v>60</v>
      </c>
      <c r="L322" s="25" t="s">
        <v>39</v>
      </c>
      <c r="M322" s="25" t="s">
        <v>139</v>
      </c>
      <c r="N322" s="23" t="s">
        <v>55</v>
      </c>
      <c r="O322" s="23" t="s">
        <v>59</v>
      </c>
      <c r="P322" s="23" t="s">
        <v>60</v>
      </c>
      <c r="Q322" s="23" t="s">
        <v>1117</v>
      </c>
      <c r="R322" s="23" t="s">
        <v>61</v>
      </c>
      <c r="S322" s="23" t="s">
        <v>1110</v>
      </c>
      <c r="T322" s="23" t="s">
        <v>1118</v>
      </c>
      <c r="U322" s="23" t="s">
        <v>44</v>
      </c>
      <c r="V322" s="23" t="s">
        <v>62</v>
      </c>
      <c r="W322" s="23"/>
      <c r="X322" s="23" t="e">
        <f>IF(COUNTIF(#REF!,_xlfn.TEXTJOIN(".",,C322,F322,H322)),"是","否")</f>
        <v>#REF!</v>
      </c>
      <c r="Y322" s="23" t="e">
        <f t="shared" si="124"/>
        <v>#REF!</v>
      </c>
      <c r="Z322" s="23"/>
      <c r="AA322" s="23"/>
      <c r="AB322" s="23"/>
      <c r="AC322" s="23"/>
      <c r="AD322" s="23"/>
      <c r="AE322" s="23"/>
      <c r="AF322" s="23"/>
      <c r="AG322" s="23"/>
      <c r="AH322" s="23"/>
      <c r="AI322" s="23"/>
      <c r="AJ322" s="1" t="str">
        <f t="shared" si="125"/>
        <v>SYS.MaaS.maas_api_id.tpot</v>
      </c>
      <c r="AK322" s="1"/>
      <c r="AL322" s="1"/>
    </row>
    <row r="323" spans="1:38" hidden="1" x14ac:dyDescent="0.25">
      <c r="A323" s="24">
        <f t="shared" si="123"/>
        <v>322</v>
      </c>
      <c r="B323" s="27" t="s">
        <v>1106</v>
      </c>
      <c r="C323" s="25" t="s">
        <v>1107</v>
      </c>
      <c r="D323" s="25" t="s">
        <v>1106</v>
      </c>
      <c r="E323" s="25" t="s">
        <v>1108</v>
      </c>
      <c r="F323" s="25" t="s">
        <v>1109</v>
      </c>
      <c r="G323" s="25" t="s">
        <v>1119</v>
      </c>
      <c r="H323" s="25" t="s">
        <v>142</v>
      </c>
      <c r="I323" s="25" t="s">
        <v>1120</v>
      </c>
      <c r="J323" s="25" t="s">
        <v>38</v>
      </c>
      <c r="K323" s="25">
        <v>60</v>
      </c>
      <c r="L323" s="25" t="s">
        <v>45</v>
      </c>
      <c r="M323" s="25" t="s">
        <v>141</v>
      </c>
      <c r="N323" s="23" t="s">
        <v>55</v>
      </c>
      <c r="O323" s="23" t="s">
        <v>59</v>
      </c>
      <c r="P323" s="23" t="s">
        <v>60</v>
      </c>
      <c r="Q323" s="23" t="s">
        <v>1117</v>
      </c>
      <c r="R323" s="23" t="s">
        <v>61</v>
      </c>
      <c r="S323" s="23" t="s">
        <v>1110</v>
      </c>
      <c r="T323" s="23" t="s">
        <v>1121</v>
      </c>
      <c r="U323" s="23" t="s">
        <v>141</v>
      </c>
      <c r="V323" s="23" t="s">
        <v>62</v>
      </c>
      <c r="W323" s="23"/>
      <c r="X323" s="23" t="e">
        <f>IF(COUNTIF(#REF!,_xlfn.TEXTJOIN(".",,C323,F323,H323)),"是","否")</f>
        <v>#REF!</v>
      </c>
      <c r="Y323" s="23" t="e">
        <f t="shared" si="124"/>
        <v>#REF!</v>
      </c>
      <c r="Z323" s="23"/>
      <c r="AA323" s="23"/>
      <c r="AB323" s="23"/>
      <c r="AC323" s="23"/>
      <c r="AD323" s="23"/>
      <c r="AE323" s="23"/>
      <c r="AF323" s="23"/>
      <c r="AG323" s="23"/>
      <c r="AH323" s="23"/>
      <c r="AI323" s="23"/>
      <c r="AJ323" s="1" t="str">
        <f t="shared" si="125"/>
        <v>SYS.MaaS.maas_api_id.req_count_5xx</v>
      </c>
      <c r="AK323" s="1"/>
      <c r="AL323" s="1"/>
    </row>
    <row r="324" spans="1:38" hidden="1" x14ac:dyDescent="0.25">
      <c r="A324" s="24">
        <f t="shared" si="123"/>
        <v>323</v>
      </c>
      <c r="B324" s="27" t="s">
        <v>1106</v>
      </c>
      <c r="C324" s="25" t="s">
        <v>1107</v>
      </c>
      <c r="D324" s="25" t="s">
        <v>1106</v>
      </c>
      <c r="E324" s="25" t="s">
        <v>1108</v>
      </c>
      <c r="F324" s="25" t="s">
        <v>1109</v>
      </c>
      <c r="G324" s="25" t="s">
        <v>1122</v>
      </c>
      <c r="H324" s="25" t="s">
        <v>1123</v>
      </c>
      <c r="I324" s="25" t="s">
        <v>1124</v>
      </c>
      <c r="J324" s="25" t="s">
        <v>38</v>
      </c>
      <c r="K324" s="25">
        <v>60</v>
      </c>
      <c r="L324" s="25" t="s">
        <v>39</v>
      </c>
      <c r="M324" s="25" t="s">
        <v>58</v>
      </c>
      <c r="N324" s="23" t="s">
        <v>55</v>
      </c>
      <c r="O324" s="23" t="s">
        <v>59</v>
      </c>
      <c r="P324" s="23" t="s">
        <v>60</v>
      </c>
      <c r="Q324" s="23" t="s">
        <v>1117</v>
      </c>
      <c r="R324" s="23" t="s">
        <v>61</v>
      </c>
      <c r="S324" s="23" t="s">
        <v>1110</v>
      </c>
      <c r="T324" s="23" t="s">
        <v>1125</v>
      </c>
      <c r="U324" s="23" t="s">
        <v>58</v>
      </c>
      <c r="V324" s="23" t="s">
        <v>62</v>
      </c>
      <c r="W324" s="23"/>
      <c r="X324" s="23" t="e">
        <f>IF(COUNTIF(#REF!,_xlfn.TEXTJOIN(".",,C324,F324,H324)),"是","否")</f>
        <v>#REF!</v>
      </c>
      <c r="Y324" s="23" t="e">
        <f t="shared" si="124"/>
        <v>#REF!</v>
      </c>
      <c r="Z324" s="23"/>
      <c r="AA324" s="23"/>
      <c r="AB324" s="23"/>
      <c r="AC324" s="23"/>
      <c r="AD324" s="23"/>
      <c r="AE324" s="23"/>
      <c r="AF324" s="23"/>
      <c r="AG324" s="23"/>
      <c r="AH324" s="23"/>
      <c r="AI324" s="23"/>
      <c r="AJ324" s="1" t="str">
        <f t="shared" si="125"/>
        <v>SYS.MaaS.maas_api_id.req_error_rate</v>
      </c>
      <c r="AK324" s="1"/>
      <c r="AL324" s="1"/>
    </row>
    <row r="325" spans="1:38" hidden="1" x14ac:dyDescent="0.25">
      <c r="A325" s="24">
        <f t="shared" si="123"/>
        <v>324</v>
      </c>
      <c r="B325" s="27" t="s">
        <v>1106</v>
      </c>
      <c r="C325" s="25" t="s">
        <v>1107</v>
      </c>
      <c r="D325" s="25" t="s">
        <v>1106</v>
      </c>
      <c r="E325" s="25" t="s">
        <v>1126</v>
      </c>
      <c r="F325" s="25" t="s">
        <v>1127</v>
      </c>
      <c r="G325" s="25" t="s">
        <v>1111</v>
      </c>
      <c r="H325" s="25" t="s">
        <v>1112</v>
      </c>
      <c r="I325" s="25" t="s">
        <v>1113</v>
      </c>
      <c r="J325" s="25" t="s">
        <v>38</v>
      </c>
      <c r="K325" s="25">
        <v>60</v>
      </c>
      <c r="L325" s="25" t="s">
        <v>39</v>
      </c>
      <c r="M325" s="25" t="s">
        <v>139</v>
      </c>
      <c r="N325" s="23" t="s">
        <v>55</v>
      </c>
      <c r="O325" s="23" t="s">
        <v>59</v>
      </c>
      <c r="P325" s="23" t="s">
        <v>60</v>
      </c>
      <c r="Q325" s="23">
        <v>3</v>
      </c>
      <c r="R325" s="23" t="s">
        <v>61</v>
      </c>
      <c r="S325" s="23" t="s">
        <v>1110</v>
      </c>
      <c r="T325" s="23">
        <v>10000</v>
      </c>
      <c r="U325" s="23" t="s">
        <v>44</v>
      </c>
      <c r="V325" s="23" t="s">
        <v>62</v>
      </c>
      <c r="W325" s="23"/>
      <c r="X325" s="23" t="e">
        <f>IF(COUNTIF(#REF!,_xlfn.TEXTJOIN(".",,C325,F325,H325)),"是","否")</f>
        <v>#REF!</v>
      </c>
      <c r="Y325" s="23" t="e">
        <f t="shared" si="124"/>
        <v>#REF!</v>
      </c>
      <c r="Z325" s="23"/>
      <c r="AA325" s="23"/>
      <c r="AB325" s="23"/>
      <c r="AC325" s="23"/>
      <c r="AD325" s="23"/>
      <c r="AE325" s="23"/>
      <c r="AF325" s="23"/>
      <c r="AG325" s="23"/>
      <c r="AH325" s="23"/>
      <c r="AI325" s="23"/>
      <c r="AJ325" s="1" t="str">
        <f t="shared" si="125"/>
        <v>SYS.MaaS.maas_api_id,maas_key_id.ttft</v>
      </c>
      <c r="AK325" s="1"/>
      <c r="AL325" s="1"/>
    </row>
    <row r="326" spans="1:38" hidden="1" x14ac:dyDescent="0.25">
      <c r="A326" s="24">
        <f t="shared" si="123"/>
        <v>325</v>
      </c>
      <c r="B326" s="27" t="s">
        <v>1106</v>
      </c>
      <c r="C326" s="25" t="s">
        <v>1107</v>
      </c>
      <c r="D326" s="25" t="s">
        <v>1106</v>
      </c>
      <c r="E326" s="25" t="s">
        <v>1126</v>
      </c>
      <c r="F326" s="25" t="s">
        <v>1127</v>
      </c>
      <c r="G326" s="25" t="s">
        <v>1114</v>
      </c>
      <c r="H326" s="25" t="s">
        <v>1115</v>
      </c>
      <c r="I326" s="25" t="s">
        <v>1116</v>
      </c>
      <c r="J326" s="25" t="s">
        <v>38</v>
      </c>
      <c r="K326" s="25">
        <v>60</v>
      </c>
      <c r="L326" s="25" t="s">
        <v>39</v>
      </c>
      <c r="M326" s="25" t="s">
        <v>139</v>
      </c>
      <c r="N326" s="23" t="s">
        <v>55</v>
      </c>
      <c r="O326" s="23" t="s">
        <v>59</v>
      </c>
      <c r="P326" s="23" t="s">
        <v>60</v>
      </c>
      <c r="Q326" s="23" t="s">
        <v>1117</v>
      </c>
      <c r="R326" s="23" t="s">
        <v>61</v>
      </c>
      <c r="S326" s="23" t="s">
        <v>1110</v>
      </c>
      <c r="T326" s="23" t="s">
        <v>1118</v>
      </c>
      <c r="U326" s="23" t="s">
        <v>44</v>
      </c>
      <c r="V326" s="23" t="s">
        <v>62</v>
      </c>
      <c r="W326" s="23"/>
      <c r="X326" s="23" t="e">
        <f>IF(COUNTIF(#REF!,_xlfn.TEXTJOIN(".",,C326,F326,H326)),"是","否")</f>
        <v>#REF!</v>
      </c>
      <c r="Y326" s="23" t="e">
        <f t="shared" si="124"/>
        <v>#REF!</v>
      </c>
      <c r="Z326" s="23"/>
      <c r="AA326" s="23"/>
      <c r="AB326" s="23"/>
      <c r="AC326" s="23"/>
      <c r="AD326" s="23"/>
      <c r="AE326" s="23"/>
      <c r="AF326" s="23"/>
      <c r="AG326" s="23"/>
      <c r="AH326" s="23"/>
      <c r="AI326" s="23"/>
      <c r="AJ326" s="1" t="str">
        <f t="shared" si="125"/>
        <v>SYS.MaaS.maas_api_id,maas_key_id.tpot</v>
      </c>
      <c r="AK326" s="1"/>
      <c r="AL326" s="1"/>
    </row>
    <row r="327" spans="1:38" hidden="1" x14ac:dyDescent="0.25">
      <c r="A327" s="24">
        <f t="shared" si="123"/>
        <v>326</v>
      </c>
      <c r="B327" s="27" t="s">
        <v>1106</v>
      </c>
      <c r="C327" s="25" t="s">
        <v>1107</v>
      </c>
      <c r="D327" s="25" t="s">
        <v>1106</v>
      </c>
      <c r="E327" s="25" t="s">
        <v>1126</v>
      </c>
      <c r="F327" s="25" t="s">
        <v>1127</v>
      </c>
      <c r="G327" s="25" t="s">
        <v>1119</v>
      </c>
      <c r="H327" s="25" t="s">
        <v>142</v>
      </c>
      <c r="I327" s="25" t="s">
        <v>1120</v>
      </c>
      <c r="J327" s="25" t="s">
        <v>38</v>
      </c>
      <c r="K327" s="25">
        <v>60</v>
      </c>
      <c r="L327" s="25" t="s">
        <v>45</v>
      </c>
      <c r="M327" s="25" t="s">
        <v>141</v>
      </c>
      <c r="N327" s="23" t="s">
        <v>55</v>
      </c>
      <c r="O327" s="23" t="s">
        <v>59</v>
      </c>
      <c r="P327" s="23" t="s">
        <v>60</v>
      </c>
      <c r="Q327" s="23" t="s">
        <v>1117</v>
      </c>
      <c r="R327" s="23" t="s">
        <v>61</v>
      </c>
      <c r="S327" s="23" t="s">
        <v>1110</v>
      </c>
      <c r="T327" s="23" t="s">
        <v>1121</v>
      </c>
      <c r="U327" s="23" t="s">
        <v>141</v>
      </c>
      <c r="V327" s="23" t="s">
        <v>62</v>
      </c>
      <c r="W327" s="23"/>
      <c r="X327" s="23" t="e">
        <f>IF(COUNTIF(#REF!,_xlfn.TEXTJOIN(".",,C327,F327,H327)),"是","否")</f>
        <v>#REF!</v>
      </c>
      <c r="Y327" s="23" t="e">
        <f t="shared" si="124"/>
        <v>#REF!</v>
      </c>
      <c r="Z327" s="23"/>
      <c r="AA327" s="23"/>
      <c r="AB327" s="23"/>
      <c r="AC327" s="23"/>
      <c r="AD327" s="23"/>
      <c r="AE327" s="23"/>
      <c r="AF327" s="23"/>
      <c r="AG327" s="23"/>
      <c r="AH327" s="23"/>
      <c r="AI327" s="23"/>
      <c r="AJ327" s="1" t="str">
        <f t="shared" si="125"/>
        <v>SYS.MaaS.maas_api_id,maas_key_id.req_count_5xx</v>
      </c>
      <c r="AK327" s="1"/>
      <c r="AL327" s="1"/>
    </row>
    <row r="328" spans="1:38" hidden="1" x14ac:dyDescent="0.25">
      <c r="A328" s="24">
        <f t="shared" si="123"/>
        <v>327</v>
      </c>
      <c r="B328" s="27" t="s">
        <v>1106</v>
      </c>
      <c r="C328" s="25" t="s">
        <v>1107</v>
      </c>
      <c r="D328" s="25" t="s">
        <v>1106</v>
      </c>
      <c r="E328" s="25" t="s">
        <v>1126</v>
      </c>
      <c r="F328" s="25" t="s">
        <v>1127</v>
      </c>
      <c r="G328" s="25" t="s">
        <v>1122</v>
      </c>
      <c r="H328" s="25" t="s">
        <v>1123</v>
      </c>
      <c r="I328" s="25" t="s">
        <v>1124</v>
      </c>
      <c r="J328" s="25" t="s">
        <v>38</v>
      </c>
      <c r="K328" s="25">
        <v>60</v>
      </c>
      <c r="L328" s="25" t="s">
        <v>39</v>
      </c>
      <c r="M328" s="25" t="s">
        <v>58</v>
      </c>
      <c r="N328" s="23" t="s">
        <v>55</v>
      </c>
      <c r="O328" s="23" t="s">
        <v>59</v>
      </c>
      <c r="P328" s="23" t="s">
        <v>60</v>
      </c>
      <c r="Q328" s="23" t="s">
        <v>1117</v>
      </c>
      <c r="R328" s="23" t="s">
        <v>61</v>
      </c>
      <c r="S328" s="23" t="s">
        <v>1110</v>
      </c>
      <c r="T328" s="23" t="s">
        <v>1125</v>
      </c>
      <c r="U328" s="23" t="s">
        <v>58</v>
      </c>
      <c r="V328" s="23" t="s">
        <v>62</v>
      </c>
      <c r="W328" s="23"/>
      <c r="X328" s="23" t="e">
        <f>IF(COUNTIF(#REF!,_xlfn.TEXTJOIN(".",,C328,F328,H328)),"是","否")</f>
        <v>#REF!</v>
      </c>
      <c r="Y328" s="23" t="e">
        <f t="shared" si="124"/>
        <v>#REF!</v>
      </c>
      <c r="Z328" s="23"/>
      <c r="AA328" s="23"/>
      <c r="AB328" s="23"/>
      <c r="AC328" s="23"/>
      <c r="AD328" s="23"/>
      <c r="AE328" s="23"/>
      <c r="AF328" s="23"/>
      <c r="AG328" s="23"/>
      <c r="AH328" s="23"/>
      <c r="AI328" s="23"/>
      <c r="AJ328" s="1" t="str">
        <f t="shared" si="125"/>
        <v>SYS.MaaS.maas_api_id,maas_key_id.req_error_rate</v>
      </c>
      <c r="AK328" s="1"/>
      <c r="AL328" s="1"/>
    </row>
    <row r="329" spans="1:38" hidden="1" x14ac:dyDescent="0.25">
      <c r="A329" s="24">
        <f t="shared" si="123"/>
        <v>328</v>
      </c>
      <c r="B329" s="25" t="s">
        <v>1103</v>
      </c>
      <c r="C329" s="25" t="s">
        <v>1128</v>
      </c>
      <c r="D329" s="27" t="s">
        <v>1105</v>
      </c>
      <c r="E329" s="25" t="s">
        <v>1076</v>
      </c>
      <c r="F329" s="25" t="s">
        <v>1077</v>
      </c>
      <c r="G329" s="25" t="s">
        <v>1078</v>
      </c>
      <c r="H329" s="25" t="s">
        <v>1079</v>
      </c>
      <c r="I329" s="25" t="s">
        <v>1080</v>
      </c>
      <c r="J329" s="25" t="s">
        <v>38</v>
      </c>
      <c r="K329" s="25">
        <v>60</v>
      </c>
      <c r="L329" s="25" t="s">
        <v>39</v>
      </c>
      <c r="M329" s="25"/>
      <c r="N329" s="23" t="s">
        <v>55</v>
      </c>
      <c r="O329" s="23" t="s">
        <v>59</v>
      </c>
      <c r="P329" s="23" t="s">
        <v>60</v>
      </c>
      <c r="Q329" s="26">
        <v>1</v>
      </c>
      <c r="R329" s="26" t="s">
        <v>136</v>
      </c>
      <c r="S329" s="36"/>
      <c r="T329" s="26">
        <v>1</v>
      </c>
      <c r="U329" s="23"/>
      <c r="V329" s="23" t="s">
        <v>62</v>
      </c>
      <c r="W329" s="23"/>
      <c r="X329" s="23" t="e">
        <f>IF(COUNTIF(#REF!,_xlfn.TEXTJOIN(".",,C329,F329,H329)),"是","否")</f>
        <v>#REF!</v>
      </c>
      <c r="Y329" s="23" t="e">
        <f t="shared" si="124"/>
        <v>#REF!</v>
      </c>
      <c r="Z329" s="23"/>
      <c r="AA329" s="23"/>
      <c r="AB329" s="23"/>
      <c r="AC329" s="23"/>
      <c r="AD329" s="23"/>
      <c r="AE329" s="23"/>
      <c r="AF329" s="23"/>
      <c r="AG329" s="23"/>
      <c r="AH329" s="23"/>
      <c r="AI329" s="23"/>
      <c r="AJ329" s="1" t="str">
        <f t="shared" si="125"/>
        <v>SERVICE.BMS.instance_id,mount_point.disk_rwstate</v>
      </c>
      <c r="AK329" s="1"/>
      <c r="AL329" s="1"/>
    </row>
    <row r="330" spans="1:38" hidden="1" x14ac:dyDescent="0.25">
      <c r="A330" s="24">
        <f t="shared" si="123"/>
        <v>329</v>
      </c>
      <c r="B330" s="25" t="s">
        <v>1103</v>
      </c>
      <c r="C330" s="25" t="s">
        <v>1128</v>
      </c>
      <c r="D330" s="27" t="s">
        <v>1105</v>
      </c>
      <c r="E330" s="25" t="s">
        <v>1076</v>
      </c>
      <c r="F330" s="25" t="s">
        <v>1077</v>
      </c>
      <c r="G330" s="25" t="s">
        <v>94</v>
      </c>
      <c r="H330" s="25" t="s">
        <v>95</v>
      </c>
      <c r="I330" s="25" t="s">
        <v>1081</v>
      </c>
      <c r="J330" s="25" t="s">
        <v>38</v>
      </c>
      <c r="K330" s="25">
        <v>60</v>
      </c>
      <c r="L330" s="25" t="s">
        <v>39</v>
      </c>
      <c r="M330" s="25" t="s">
        <v>58</v>
      </c>
      <c r="N330" s="23" t="s">
        <v>55</v>
      </c>
      <c r="O330" s="23" t="s">
        <v>59</v>
      </c>
      <c r="P330" s="23" t="s">
        <v>60</v>
      </c>
      <c r="Q330" s="26">
        <v>3</v>
      </c>
      <c r="R330" s="26" t="s">
        <v>61</v>
      </c>
      <c r="S330" s="26">
        <v>85</v>
      </c>
      <c r="T330" s="26">
        <v>90</v>
      </c>
      <c r="U330" s="23" t="s">
        <v>58</v>
      </c>
      <c r="V330" s="23" t="s">
        <v>62</v>
      </c>
      <c r="W330" s="23"/>
      <c r="X330" s="23" t="e">
        <f>IF(COUNTIF(#REF!,_xlfn.TEXTJOIN(".",,C330,F330,H330)),"是","否")</f>
        <v>#REF!</v>
      </c>
      <c r="Y330" s="23" t="e">
        <f t="shared" si="124"/>
        <v>#REF!</v>
      </c>
      <c r="Z330" s="23"/>
      <c r="AA330" s="23" t="s">
        <v>55</v>
      </c>
      <c r="AB330" s="23" t="s">
        <v>60</v>
      </c>
      <c r="AC330" s="23">
        <v>3</v>
      </c>
      <c r="AD330" s="23" t="s">
        <v>61</v>
      </c>
      <c r="AE330" s="23">
        <v>80</v>
      </c>
      <c r="AF330" s="23">
        <v>90</v>
      </c>
      <c r="AG330" s="23" t="s">
        <v>1082</v>
      </c>
      <c r="AH330" s="23" t="s">
        <v>58</v>
      </c>
      <c r="AI330" s="23" t="s">
        <v>62</v>
      </c>
      <c r="AJ330" s="1" t="str">
        <f t="shared" si="125"/>
        <v>SERVICE.BMS.instance_id,mount_point.disk_usedPercent</v>
      </c>
      <c r="AK330" s="1"/>
      <c r="AL330" s="1"/>
    </row>
    <row r="331" spans="1:38" hidden="1" x14ac:dyDescent="0.25">
      <c r="A331" s="24">
        <f t="shared" si="123"/>
        <v>330</v>
      </c>
      <c r="B331" s="25" t="s">
        <v>1103</v>
      </c>
      <c r="C331" s="25" t="s">
        <v>1128</v>
      </c>
      <c r="D331" s="27" t="s">
        <v>1105</v>
      </c>
      <c r="E331" s="25" t="s">
        <v>1076</v>
      </c>
      <c r="F331" s="25" t="s">
        <v>1077</v>
      </c>
      <c r="G331" s="25" t="s">
        <v>90</v>
      </c>
      <c r="H331" s="25" t="s">
        <v>91</v>
      </c>
      <c r="I331" s="25" t="s">
        <v>1083</v>
      </c>
      <c r="J331" s="25" t="s">
        <v>38</v>
      </c>
      <c r="K331" s="25">
        <v>60</v>
      </c>
      <c r="L331" s="25" t="s">
        <v>39</v>
      </c>
      <c r="M331" s="25" t="s">
        <v>58</v>
      </c>
      <c r="N331" s="23" t="s">
        <v>55</v>
      </c>
      <c r="O331" s="23" t="s">
        <v>59</v>
      </c>
      <c r="P331" s="23" t="s">
        <v>60</v>
      </c>
      <c r="Q331" s="26">
        <v>3</v>
      </c>
      <c r="R331" s="26" t="s">
        <v>61</v>
      </c>
      <c r="S331" s="26">
        <v>85</v>
      </c>
      <c r="T331" s="26">
        <v>90</v>
      </c>
      <c r="U331" s="23" t="s">
        <v>58</v>
      </c>
      <c r="V331" s="23" t="s">
        <v>62</v>
      </c>
      <c r="W331" s="23"/>
      <c r="X331" s="23" t="e">
        <f>IF(COUNTIF(#REF!,_xlfn.TEXTJOIN(".",,C331,F331,H331)),"是","否")</f>
        <v>#REF!</v>
      </c>
      <c r="Y331" s="23" t="e">
        <f t="shared" si="124"/>
        <v>#REF!</v>
      </c>
      <c r="Z331" s="23"/>
      <c r="AA331" s="23" t="s">
        <v>55</v>
      </c>
      <c r="AB331" s="23" t="s">
        <v>60</v>
      </c>
      <c r="AC331" s="23">
        <v>3</v>
      </c>
      <c r="AD331" s="23" t="s">
        <v>61</v>
      </c>
      <c r="AE331" s="23">
        <v>80</v>
      </c>
      <c r="AF331" s="23">
        <v>90</v>
      </c>
      <c r="AG331" s="23" t="s">
        <v>1082</v>
      </c>
      <c r="AH331" s="23" t="s">
        <v>58</v>
      </c>
      <c r="AI331" s="23" t="s">
        <v>62</v>
      </c>
      <c r="AJ331" s="1" t="str">
        <f t="shared" si="125"/>
        <v>SERVICE.BMS.instance_id,mount_point.disk_inodesUsedPercent</v>
      </c>
      <c r="AK331" s="1"/>
      <c r="AL331" s="1"/>
    </row>
    <row r="332" spans="1:38" hidden="1" x14ac:dyDescent="0.25">
      <c r="A332" s="24">
        <f t="shared" si="123"/>
        <v>331</v>
      </c>
      <c r="B332" s="25" t="s">
        <v>1103</v>
      </c>
      <c r="C332" s="25" t="s">
        <v>1128</v>
      </c>
      <c r="D332" s="27" t="s">
        <v>1105</v>
      </c>
      <c r="E332" s="25" t="s">
        <v>1076</v>
      </c>
      <c r="F332" s="25" t="s">
        <v>1077</v>
      </c>
      <c r="G332" s="25" t="s">
        <v>1084</v>
      </c>
      <c r="H332" s="25" t="s">
        <v>1085</v>
      </c>
      <c r="I332" s="25" t="s">
        <v>1086</v>
      </c>
      <c r="J332" s="25" t="s">
        <v>38</v>
      </c>
      <c r="K332" s="25">
        <v>60</v>
      </c>
      <c r="L332" s="25" t="s">
        <v>39</v>
      </c>
      <c r="M332" s="25"/>
      <c r="N332" s="23" t="s">
        <v>55</v>
      </c>
      <c r="O332" s="23" t="s">
        <v>59</v>
      </c>
      <c r="P332" s="23" t="s">
        <v>60</v>
      </c>
      <c r="Q332" s="26">
        <v>1</v>
      </c>
      <c r="R332" s="26" t="s">
        <v>136</v>
      </c>
      <c r="S332" s="36"/>
      <c r="T332" s="26">
        <v>1</v>
      </c>
      <c r="U332" s="22"/>
      <c r="V332" s="23" t="s">
        <v>62</v>
      </c>
      <c r="W332" s="23"/>
      <c r="X332" s="23" t="e">
        <f>IF(COUNTIF(#REF!,_xlfn.TEXTJOIN(".",,C332,F332,H332)),"是","否")</f>
        <v>#REF!</v>
      </c>
      <c r="Y332" s="23" t="e">
        <f t="shared" si="124"/>
        <v>#REF!</v>
      </c>
      <c r="Z332" s="23"/>
      <c r="AA332" s="23" t="s">
        <v>55</v>
      </c>
      <c r="AB332" s="23" t="s">
        <v>60</v>
      </c>
      <c r="AC332" s="23">
        <v>2</v>
      </c>
      <c r="AD332" s="23" t="s">
        <v>136</v>
      </c>
      <c r="AE332" s="23">
        <v>1</v>
      </c>
      <c r="AF332" s="23"/>
      <c r="AG332" s="23" t="s">
        <v>1082</v>
      </c>
      <c r="AH332" s="23"/>
      <c r="AI332" s="23" t="s">
        <v>62</v>
      </c>
      <c r="AJ332" s="1" t="str">
        <f t="shared" si="125"/>
        <v>SERVICE.BMS.instance_id,mount_point.disk_fs_rwstate</v>
      </c>
      <c r="AK332" s="1"/>
      <c r="AL332" s="1"/>
    </row>
    <row r="333" spans="1:38" hidden="1" x14ac:dyDescent="0.25">
      <c r="A333" s="24">
        <f t="shared" si="123"/>
        <v>332</v>
      </c>
      <c r="B333" s="25" t="s">
        <v>1103</v>
      </c>
      <c r="C333" s="25" t="s">
        <v>1128</v>
      </c>
      <c r="D333" s="27" t="s">
        <v>1105</v>
      </c>
      <c r="E333" s="25" t="s">
        <v>1076</v>
      </c>
      <c r="F333" s="25" t="s">
        <v>1077</v>
      </c>
      <c r="G333" s="25" t="s">
        <v>92</v>
      </c>
      <c r="H333" s="25" t="s">
        <v>93</v>
      </c>
      <c r="I333" s="22" t="s">
        <v>1065</v>
      </c>
      <c r="J333" s="22" t="s">
        <v>38</v>
      </c>
      <c r="K333" s="22">
        <v>60</v>
      </c>
      <c r="L333" s="22" t="s">
        <v>39</v>
      </c>
      <c r="M333" s="22" t="s">
        <v>58</v>
      </c>
      <c r="N333" s="23" t="s">
        <v>55</v>
      </c>
      <c r="O333" s="23" t="s">
        <v>59</v>
      </c>
      <c r="P333" s="23" t="s">
        <v>60</v>
      </c>
      <c r="Q333" s="23">
        <v>3</v>
      </c>
      <c r="R333" s="23" t="s">
        <v>61</v>
      </c>
      <c r="S333" s="23">
        <v>80</v>
      </c>
      <c r="T333" s="23">
        <v>90</v>
      </c>
      <c r="U333" s="23" t="s">
        <v>58</v>
      </c>
      <c r="V333" s="23" t="s">
        <v>62</v>
      </c>
      <c r="W333" s="23"/>
      <c r="X333" s="23" t="e">
        <f>IF(COUNTIF(#REF!,_xlfn.TEXTJOIN(".",,C333,F333,H333)),"是","否")</f>
        <v>#REF!</v>
      </c>
      <c r="Y333" s="23" t="e">
        <f t="shared" si="124"/>
        <v>#REF!</v>
      </c>
      <c r="Z333" s="23"/>
      <c r="AA333" s="23"/>
      <c r="AB333" s="23"/>
      <c r="AC333" s="23"/>
      <c r="AD333" s="23"/>
      <c r="AE333" s="23"/>
      <c r="AF333" s="23"/>
      <c r="AG333" s="23"/>
      <c r="AH333" s="23"/>
      <c r="AI333" s="23"/>
      <c r="AJ333" s="1" t="str">
        <f t="shared" si="125"/>
        <v>SERVICE.BMS.instance_id,mount_point.disk_ioUtils</v>
      </c>
      <c r="AK333" s="1"/>
      <c r="AL333" s="1"/>
    </row>
    <row r="334" spans="1:38" hidden="1" x14ac:dyDescent="0.25">
      <c r="A334" s="24">
        <f t="shared" ref="A334:A341" si="126">ROW()-1</f>
        <v>333</v>
      </c>
      <c r="B334" s="25" t="s">
        <v>1103</v>
      </c>
      <c r="C334" s="25" t="s">
        <v>1128</v>
      </c>
      <c r="D334" s="27" t="s">
        <v>1105</v>
      </c>
      <c r="E334" s="25" t="s">
        <v>998</v>
      </c>
      <c r="F334" s="25" t="s">
        <v>71</v>
      </c>
      <c r="G334" s="25" t="s">
        <v>84</v>
      </c>
      <c r="H334" s="25" t="s">
        <v>85</v>
      </c>
      <c r="I334" s="25" t="s">
        <v>1041</v>
      </c>
      <c r="J334" s="25" t="s">
        <v>38</v>
      </c>
      <c r="K334" s="25">
        <v>60</v>
      </c>
      <c r="L334" s="25" t="s">
        <v>39</v>
      </c>
      <c r="M334" s="25" t="s">
        <v>58</v>
      </c>
      <c r="N334" s="23" t="s">
        <v>55</v>
      </c>
      <c r="O334" s="23" t="s">
        <v>59</v>
      </c>
      <c r="P334" s="23" t="s">
        <v>60</v>
      </c>
      <c r="Q334" s="26">
        <v>3</v>
      </c>
      <c r="R334" s="26" t="s">
        <v>61</v>
      </c>
      <c r="S334" s="26">
        <v>85</v>
      </c>
      <c r="T334" s="26">
        <v>90</v>
      </c>
      <c r="U334" s="23" t="s">
        <v>58</v>
      </c>
      <c r="V334" s="23" t="s">
        <v>62</v>
      </c>
      <c r="W334" s="23"/>
      <c r="X334" s="23" t="e">
        <f>IF(COUNTIF(#REF!,_xlfn.TEXTJOIN(".",,C334,F334,H334)),"是","否")</f>
        <v>#REF!</v>
      </c>
      <c r="Y334" s="23" t="e">
        <f t="shared" ref="Y334:Y341" si="127">IF(AND(O334="底线指标",X334="是"),"是","否")</f>
        <v>#REF!</v>
      </c>
      <c r="Z334" s="23"/>
      <c r="AA334" s="23" t="s">
        <v>55</v>
      </c>
      <c r="AB334" s="23" t="s">
        <v>60</v>
      </c>
      <c r="AC334" s="23">
        <v>3</v>
      </c>
      <c r="AD334" s="23" t="s">
        <v>61</v>
      </c>
      <c r="AE334" s="23">
        <v>80</v>
      </c>
      <c r="AF334" s="23">
        <v>90</v>
      </c>
      <c r="AG334" s="23"/>
      <c r="AH334" s="23" t="s">
        <v>58</v>
      </c>
      <c r="AI334" s="23" t="s">
        <v>62</v>
      </c>
      <c r="AJ334" s="1" t="str">
        <f t="shared" ref="AJ334:AJ341" si="128">_xlfn.TEXTJOIN(".",TRUE,C334,F334,H334)</f>
        <v>SERVICE.BMS.instance_id.cpu_usage</v>
      </c>
      <c r="AK334" s="1"/>
      <c r="AL334" s="1"/>
    </row>
    <row r="335" spans="1:38" hidden="1" x14ac:dyDescent="0.25">
      <c r="A335" s="24">
        <f t="shared" si="126"/>
        <v>334</v>
      </c>
      <c r="B335" s="25" t="s">
        <v>1103</v>
      </c>
      <c r="C335" s="25" t="s">
        <v>1128</v>
      </c>
      <c r="D335" s="27" t="s">
        <v>1105</v>
      </c>
      <c r="E335" s="25" t="s">
        <v>998</v>
      </c>
      <c r="F335" s="25" t="s">
        <v>71</v>
      </c>
      <c r="G335" s="25" t="s">
        <v>88</v>
      </c>
      <c r="H335" s="25" t="s">
        <v>89</v>
      </c>
      <c r="I335" s="22" t="s">
        <v>1042</v>
      </c>
      <c r="J335" s="22" t="s">
        <v>38</v>
      </c>
      <c r="K335" s="22">
        <v>60</v>
      </c>
      <c r="L335" s="22" t="s">
        <v>39</v>
      </c>
      <c r="M335" s="22"/>
      <c r="N335" s="23" t="s">
        <v>55</v>
      </c>
      <c r="O335" s="23" t="s">
        <v>59</v>
      </c>
      <c r="P335" s="23" t="s">
        <v>60</v>
      </c>
      <c r="Q335" s="23">
        <v>3</v>
      </c>
      <c r="R335" s="23" t="s">
        <v>61</v>
      </c>
      <c r="S335" s="23">
        <v>1</v>
      </c>
      <c r="T335" s="23"/>
      <c r="U335" s="22"/>
      <c r="V335" s="23" t="s">
        <v>459</v>
      </c>
      <c r="W335" s="23"/>
      <c r="X335" s="23" t="e">
        <f>IF(COUNTIF(#REF!,_xlfn.TEXTJOIN(".",,C335,F335,H335)),"是","否")</f>
        <v>#REF!</v>
      </c>
      <c r="Y335" s="23" t="e">
        <f t="shared" si="127"/>
        <v>#REF!</v>
      </c>
      <c r="Z335" s="23"/>
      <c r="AA335" s="23"/>
      <c r="AB335" s="23"/>
      <c r="AC335" s="23"/>
      <c r="AD335" s="23"/>
      <c r="AE335" s="23"/>
      <c r="AF335" s="23"/>
      <c r="AG335" s="23"/>
      <c r="AH335" s="23"/>
      <c r="AI335" s="23"/>
      <c r="AJ335" s="1" t="str">
        <f t="shared" si="128"/>
        <v>SERVICE.BMS.instance_id.load_average5</v>
      </c>
      <c r="AK335" s="1"/>
      <c r="AL335" s="1"/>
    </row>
    <row r="336" spans="1:38" hidden="1" x14ac:dyDescent="0.25">
      <c r="A336" s="24">
        <f t="shared" si="126"/>
        <v>335</v>
      </c>
      <c r="B336" s="25" t="s">
        <v>1103</v>
      </c>
      <c r="C336" s="25" t="s">
        <v>1128</v>
      </c>
      <c r="D336" s="27" t="s">
        <v>1105</v>
      </c>
      <c r="E336" s="25" t="s">
        <v>998</v>
      </c>
      <c r="F336" s="25" t="s">
        <v>71</v>
      </c>
      <c r="G336" s="25" t="s">
        <v>86</v>
      </c>
      <c r="H336" s="25" t="s">
        <v>87</v>
      </c>
      <c r="I336" s="25" t="s">
        <v>110</v>
      </c>
      <c r="J336" s="25" t="s">
        <v>38</v>
      </c>
      <c r="K336" s="25">
        <v>60</v>
      </c>
      <c r="L336" s="25" t="s">
        <v>39</v>
      </c>
      <c r="M336" s="25" t="s">
        <v>58</v>
      </c>
      <c r="N336" s="23" t="s">
        <v>55</v>
      </c>
      <c r="O336" s="23" t="s">
        <v>59</v>
      </c>
      <c r="P336" s="23" t="s">
        <v>60</v>
      </c>
      <c r="Q336" s="26">
        <v>3</v>
      </c>
      <c r="R336" s="26" t="s">
        <v>61</v>
      </c>
      <c r="S336" s="26">
        <v>85</v>
      </c>
      <c r="T336" s="26">
        <v>90</v>
      </c>
      <c r="U336" s="23" t="s">
        <v>58</v>
      </c>
      <c r="V336" s="23" t="s">
        <v>62</v>
      </c>
      <c r="W336" s="23"/>
      <c r="X336" s="23" t="e">
        <f>IF(COUNTIF(#REF!,_xlfn.TEXTJOIN(".",,C336,F336,H336)),"是","否")</f>
        <v>#REF!</v>
      </c>
      <c r="Y336" s="23" t="e">
        <f t="shared" si="127"/>
        <v>#REF!</v>
      </c>
      <c r="Z336" s="23"/>
      <c r="AA336" s="23" t="s">
        <v>55</v>
      </c>
      <c r="AB336" s="23" t="s">
        <v>60</v>
      </c>
      <c r="AC336" s="23">
        <v>3</v>
      </c>
      <c r="AD336" s="23" t="s">
        <v>61</v>
      </c>
      <c r="AE336" s="23">
        <v>80</v>
      </c>
      <c r="AF336" s="23">
        <v>90</v>
      </c>
      <c r="AG336" s="23"/>
      <c r="AH336" s="23" t="s">
        <v>58</v>
      </c>
      <c r="AI336" s="23" t="s">
        <v>62</v>
      </c>
      <c r="AJ336" s="1" t="str">
        <f t="shared" si="128"/>
        <v>SERVICE.BMS.instance_id.mem_usedPercent</v>
      </c>
      <c r="AK336" s="1"/>
      <c r="AL336" s="1"/>
    </row>
    <row r="337" spans="1:38" hidden="1" x14ac:dyDescent="0.25">
      <c r="A337" s="24">
        <f t="shared" si="126"/>
        <v>336</v>
      </c>
      <c r="B337" s="25" t="s">
        <v>1103</v>
      </c>
      <c r="C337" s="25" t="s">
        <v>1128</v>
      </c>
      <c r="D337" s="27" t="s">
        <v>1105</v>
      </c>
      <c r="E337" s="25" t="s">
        <v>998</v>
      </c>
      <c r="F337" s="25" t="s">
        <v>71</v>
      </c>
      <c r="G337" s="25" t="s">
        <v>1043</v>
      </c>
      <c r="H337" s="25" t="s">
        <v>1044</v>
      </c>
      <c r="I337" s="25" t="s">
        <v>1045</v>
      </c>
      <c r="J337" s="25" t="s">
        <v>38</v>
      </c>
      <c r="K337" s="25">
        <v>60</v>
      </c>
      <c r="L337" s="25" t="s">
        <v>39</v>
      </c>
      <c r="M337" s="25" t="s">
        <v>58</v>
      </c>
      <c r="N337" s="23" t="s">
        <v>55</v>
      </c>
      <c r="O337" s="23" t="s">
        <v>59</v>
      </c>
      <c r="P337" s="23" t="s">
        <v>60</v>
      </c>
      <c r="Q337" s="26">
        <v>5</v>
      </c>
      <c r="R337" s="26" t="s">
        <v>61</v>
      </c>
      <c r="S337" s="26">
        <v>0</v>
      </c>
      <c r="T337" s="23"/>
      <c r="U337" s="23" t="s">
        <v>58</v>
      </c>
      <c r="V337" s="23" t="s">
        <v>62</v>
      </c>
      <c r="W337" s="23"/>
      <c r="X337" s="23" t="e">
        <f>IF(COUNTIF(#REF!,_xlfn.TEXTJOIN(".",,C337,F337,H337)),"是","否")</f>
        <v>#REF!</v>
      </c>
      <c r="Y337" s="23" t="e">
        <f t="shared" si="127"/>
        <v>#REF!</v>
      </c>
      <c r="Z337" s="23"/>
      <c r="AA337" s="23" t="s">
        <v>55</v>
      </c>
      <c r="AB337" s="23" t="s">
        <v>60</v>
      </c>
      <c r="AC337" s="23">
        <v>3</v>
      </c>
      <c r="AD337" s="23" t="s">
        <v>61</v>
      </c>
      <c r="AE337" s="23">
        <v>0</v>
      </c>
      <c r="AF337" s="23"/>
      <c r="AG337" s="23"/>
      <c r="AH337" s="23"/>
      <c r="AI337" s="23" t="s">
        <v>62</v>
      </c>
      <c r="AJ337" s="1" t="str">
        <f t="shared" si="128"/>
        <v>SERVICE.BMS.instance_id.net_errin</v>
      </c>
      <c r="AK337" s="1"/>
      <c r="AL337" s="1"/>
    </row>
    <row r="338" spans="1:38" hidden="1" x14ac:dyDescent="0.25">
      <c r="A338" s="24">
        <f t="shared" si="126"/>
        <v>337</v>
      </c>
      <c r="B338" s="25" t="s">
        <v>1103</v>
      </c>
      <c r="C338" s="25" t="s">
        <v>1128</v>
      </c>
      <c r="D338" s="27" t="s">
        <v>1105</v>
      </c>
      <c r="E338" s="25" t="s">
        <v>998</v>
      </c>
      <c r="F338" s="25" t="s">
        <v>71</v>
      </c>
      <c r="G338" s="25" t="s">
        <v>1046</v>
      </c>
      <c r="H338" s="25" t="s">
        <v>1047</v>
      </c>
      <c r="I338" s="25" t="s">
        <v>1048</v>
      </c>
      <c r="J338" s="25" t="s">
        <v>38</v>
      </c>
      <c r="K338" s="25">
        <v>60</v>
      </c>
      <c r="L338" s="25" t="s">
        <v>39</v>
      </c>
      <c r="M338" s="25" t="s">
        <v>58</v>
      </c>
      <c r="N338" s="23" t="s">
        <v>55</v>
      </c>
      <c r="O338" s="23" t="s">
        <v>59</v>
      </c>
      <c r="P338" s="23" t="s">
        <v>60</v>
      </c>
      <c r="Q338" s="26">
        <v>5</v>
      </c>
      <c r="R338" s="26" t="s">
        <v>61</v>
      </c>
      <c r="S338" s="26">
        <v>0</v>
      </c>
      <c r="T338" s="23"/>
      <c r="U338" s="23" t="s">
        <v>58</v>
      </c>
      <c r="V338" s="23" t="s">
        <v>62</v>
      </c>
      <c r="W338" s="23"/>
      <c r="X338" s="23" t="e">
        <f>IF(COUNTIF(#REF!,_xlfn.TEXTJOIN(".",,C338,F338,H338)),"是","否")</f>
        <v>#REF!</v>
      </c>
      <c r="Y338" s="23" t="e">
        <f t="shared" si="127"/>
        <v>#REF!</v>
      </c>
      <c r="Z338" s="23"/>
      <c r="AA338" s="23" t="s">
        <v>55</v>
      </c>
      <c r="AB338" s="23" t="s">
        <v>60</v>
      </c>
      <c r="AC338" s="23">
        <v>3</v>
      </c>
      <c r="AD338" s="23" t="s">
        <v>61</v>
      </c>
      <c r="AE338" s="23">
        <v>0</v>
      </c>
      <c r="AF338" s="23"/>
      <c r="AG338" s="23"/>
      <c r="AH338" s="23"/>
      <c r="AI338" s="23" t="s">
        <v>62</v>
      </c>
      <c r="AJ338" s="1" t="str">
        <f t="shared" si="128"/>
        <v>SERVICE.BMS.instance_id.net_errout</v>
      </c>
      <c r="AK338" s="1"/>
      <c r="AL338" s="1"/>
    </row>
    <row r="339" spans="1:38" hidden="1" x14ac:dyDescent="0.25">
      <c r="A339" s="24">
        <f t="shared" si="126"/>
        <v>338</v>
      </c>
      <c r="B339" s="25" t="s">
        <v>1103</v>
      </c>
      <c r="C339" s="25" t="s">
        <v>1128</v>
      </c>
      <c r="D339" s="27" t="s">
        <v>1105</v>
      </c>
      <c r="E339" s="25" t="s">
        <v>998</v>
      </c>
      <c r="F339" s="25" t="s">
        <v>71</v>
      </c>
      <c r="G339" s="25" t="s">
        <v>1049</v>
      </c>
      <c r="H339" s="25" t="s">
        <v>1050</v>
      </c>
      <c r="I339" s="25" t="s">
        <v>1051</v>
      </c>
      <c r="J339" s="25" t="s">
        <v>38</v>
      </c>
      <c r="K339" s="25">
        <v>60</v>
      </c>
      <c r="L339" s="25" t="s">
        <v>39</v>
      </c>
      <c r="M339" s="25" t="s">
        <v>58</v>
      </c>
      <c r="N339" s="23" t="s">
        <v>55</v>
      </c>
      <c r="O339" s="23" t="s">
        <v>59</v>
      </c>
      <c r="P339" s="23" t="s">
        <v>60</v>
      </c>
      <c r="Q339" s="26">
        <v>5</v>
      </c>
      <c r="R339" s="26" t="s">
        <v>61</v>
      </c>
      <c r="S339" s="26">
        <v>0</v>
      </c>
      <c r="T339" s="23"/>
      <c r="U339" s="23" t="s">
        <v>58</v>
      </c>
      <c r="V339" s="23" t="s">
        <v>62</v>
      </c>
      <c r="W339" s="23"/>
      <c r="X339" s="23" t="e">
        <f>IF(COUNTIF(#REF!,_xlfn.TEXTJOIN(".",,C339,F339,H339)),"是","否")</f>
        <v>#REF!</v>
      </c>
      <c r="Y339" s="23" t="e">
        <f t="shared" si="127"/>
        <v>#REF!</v>
      </c>
      <c r="Z339" s="23"/>
      <c r="AA339" s="23" t="s">
        <v>55</v>
      </c>
      <c r="AB339" s="23" t="s">
        <v>60</v>
      </c>
      <c r="AC339" s="23">
        <v>3</v>
      </c>
      <c r="AD339" s="23" t="s">
        <v>61</v>
      </c>
      <c r="AE339" s="23">
        <v>0</v>
      </c>
      <c r="AF339" s="23"/>
      <c r="AG339" s="23"/>
      <c r="AH339" s="23"/>
      <c r="AI339" s="23" t="s">
        <v>62</v>
      </c>
      <c r="AJ339" s="1" t="str">
        <f t="shared" si="128"/>
        <v>SERVICE.BMS.instance_id.net_dropin</v>
      </c>
      <c r="AK339" s="1"/>
      <c r="AL339" s="1"/>
    </row>
    <row r="340" spans="1:38" hidden="1" x14ac:dyDescent="0.25">
      <c r="A340" s="24">
        <f t="shared" si="126"/>
        <v>339</v>
      </c>
      <c r="B340" s="25" t="s">
        <v>1103</v>
      </c>
      <c r="C340" s="25" t="s">
        <v>1128</v>
      </c>
      <c r="D340" s="27" t="s">
        <v>1105</v>
      </c>
      <c r="E340" s="25" t="s">
        <v>998</v>
      </c>
      <c r="F340" s="25" t="s">
        <v>71</v>
      </c>
      <c r="G340" s="25" t="s">
        <v>1052</v>
      </c>
      <c r="H340" s="25" t="s">
        <v>1053</v>
      </c>
      <c r="I340" s="25" t="s">
        <v>1054</v>
      </c>
      <c r="J340" s="25" t="s">
        <v>38</v>
      </c>
      <c r="K340" s="25">
        <v>60</v>
      </c>
      <c r="L340" s="25" t="s">
        <v>39</v>
      </c>
      <c r="M340" s="25" t="s">
        <v>58</v>
      </c>
      <c r="N340" s="23" t="s">
        <v>55</v>
      </c>
      <c r="O340" s="23" t="s">
        <v>59</v>
      </c>
      <c r="P340" s="23" t="s">
        <v>60</v>
      </c>
      <c r="Q340" s="26">
        <v>5</v>
      </c>
      <c r="R340" s="26" t="s">
        <v>61</v>
      </c>
      <c r="S340" s="26">
        <v>0</v>
      </c>
      <c r="T340" s="23"/>
      <c r="U340" s="23" t="s">
        <v>58</v>
      </c>
      <c r="V340" s="23" t="s">
        <v>62</v>
      </c>
      <c r="W340" s="23"/>
      <c r="X340" s="23" t="e">
        <f>IF(COUNTIF(#REF!,_xlfn.TEXTJOIN(".",,C340,F340,H340)),"是","否")</f>
        <v>#REF!</v>
      </c>
      <c r="Y340" s="23" t="e">
        <f t="shared" si="127"/>
        <v>#REF!</v>
      </c>
      <c r="Z340" s="23"/>
      <c r="AA340" s="23" t="s">
        <v>55</v>
      </c>
      <c r="AB340" s="23" t="s">
        <v>60</v>
      </c>
      <c r="AC340" s="23">
        <v>3</v>
      </c>
      <c r="AD340" s="23" t="s">
        <v>61</v>
      </c>
      <c r="AE340" s="23">
        <v>0</v>
      </c>
      <c r="AF340" s="23"/>
      <c r="AG340" s="23"/>
      <c r="AH340" s="23"/>
      <c r="AI340" s="23" t="s">
        <v>62</v>
      </c>
      <c r="AJ340" s="1" t="str">
        <f t="shared" si="128"/>
        <v>SERVICE.BMS.instance_id.net_dropout</v>
      </c>
      <c r="AK340" s="1"/>
      <c r="AL340" s="1"/>
    </row>
    <row r="341" spans="1:38" hidden="1" x14ac:dyDescent="0.25">
      <c r="A341" s="24">
        <f t="shared" si="126"/>
        <v>340</v>
      </c>
      <c r="B341" s="25" t="s">
        <v>1103</v>
      </c>
      <c r="C341" s="25" t="s">
        <v>1128</v>
      </c>
      <c r="D341" s="27" t="s">
        <v>1105</v>
      </c>
      <c r="E341" s="25" t="s">
        <v>1073</v>
      </c>
      <c r="F341" s="25" t="s">
        <v>1074</v>
      </c>
      <c r="G341" s="25" t="s">
        <v>1075</v>
      </c>
      <c r="H341" s="25" t="s">
        <v>74</v>
      </c>
      <c r="I341" s="25" t="s">
        <v>75</v>
      </c>
      <c r="J341" s="25" t="s">
        <v>38</v>
      </c>
      <c r="K341" s="25">
        <v>60</v>
      </c>
      <c r="L341" s="25" t="s">
        <v>39</v>
      </c>
      <c r="M341" s="25"/>
      <c r="N341" s="23" t="s">
        <v>55</v>
      </c>
      <c r="O341" s="23" t="s">
        <v>59</v>
      </c>
      <c r="P341" s="23" t="s">
        <v>60</v>
      </c>
      <c r="Q341" s="37">
        <v>3</v>
      </c>
      <c r="R341" s="37" t="s">
        <v>136</v>
      </c>
      <c r="S341" s="37">
        <v>1</v>
      </c>
      <c r="T341" s="37">
        <v>2</v>
      </c>
      <c r="U341" s="22"/>
      <c r="V341" s="23" t="s">
        <v>62</v>
      </c>
      <c r="W341" s="23"/>
      <c r="X341" s="23" t="e">
        <f>IF(COUNTIF(#REF!,_xlfn.TEXTJOIN(".",,C341,F341,H341)),"是","否")</f>
        <v>#REF!</v>
      </c>
      <c r="Y341" s="23" t="e">
        <f t="shared" si="127"/>
        <v>#REF!</v>
      </c>
      <c r="Z341" s="23"/>
      <c r="AA341" s="23" t="s">
        <v>55</v>
      </c>
      <c r="AB341" s="23" t="s">
        <v>60</v>
      </c>
      <c r="AC341" s="23">
        <v>3</v>
      </c>
      <c r="AD341" s="23" t="s">
        <v>61</v>
      </c>
      <c r="AE341" s="23">
        <v>0</v>
      </c>
      <c r="AF341" s="23"/>
      <c r="AG341" s="23" t="s">
        <v>1130</v>
      </c>
      <c r="AH341" s="23"/>
      <c r="AI341" s="23" t="s">
        <v>62</v>
      </c>
      <c r="AJ341" s="1" t="str">
        <f t="shared" si="128"/>
        <v>SERVICE.BMS.instance_id,gpu.gpu_status</v>
      </c>
      <c r="AK341" s="1"/>
      <c r="AL341" s="1"/>
    </row>
    <row r="342" spans="1:38" hidden="1" x14ac:dyDescent="0.25">
      <c r="A342" s="24">
        <f t="shared" ref="A342:A347" si="129">ROW()-1</f>
        <v>341</v>
      </c>
      <c r="B342" s="25" t="s">
        <v>1103</v>
      </c>
      <c r="C342" s="25" t="s">
        <v>1128</v>
      </c>
      <c r="D342" s="27" t="s">
        <v>1105</v>
      </c>
      <c r="E342" s="25" t="s">
        <v>1063</v>
      </c>
      <c r="F342" s="25" t="s">
        <v>1064</v>
      </c>
      <c r="G342" s="25" t="s">
        <v>92</v>
      </c>
      <c r="H342" s="25" t="s">
        <v>93</v>
      </c>
      <c r="I342" s="22" t="s">
        <v>1065</v>
      </c>
      <c r="J342" s="22" t="s">
        <v>38</v>
      </c>
      <c r="K342" s="22">
        <v>60</v>
      </c>
      <c r="L342" s="22" t="s">
        <v>39</v>
      </c>
      <c r="M342" s="22" t="s">
        <v>58</v>
      </c>
      <c r="N342" s="23" t="s">
        <v>55</v>
      </c>
      <c r="O342" s="23" t="s">
        <v>59</v>
      </c>
      <c r="P342" s="23" t="s">
        <v>60</v>
      </c>
      <c r="Q342" s="23">
        <v>3</v>
      </c>
      <c r="R342" s="23" t="s">
        <v>61</v>
      </c>
      <c r="S342" s="23">
        <v>80</v>
      </c>
      <c r="T342" s="23">
        <v>90</v>
      </c>
      <c r="U342" s="23" t="s">
        <v>58</v>
      </c>
      <c r="V342" s="23" t="s">
        <v>62</v>
      </c>
      <c r="W342" s="23"/>
      <c r="X342" s="23" t="e">
        <f>IF(COUNTIF(#REF!,_xlfn.TEXTJOIN(".",,C342,F342,H342)),"是","否")</f>
        <v>#REF!</v>
      </c>
      <c r="Y342" s="23" t="e">
        <f t="shared" ref="Y342:Y347" si="130">IF(AND(O342="底线指标",X342="是"),"是","否")</f>
        <v>#REF!</v>
      </c>
      <c r="Z342" s="23"/>
      <c r="AA342" s="23"/>
      <c r="AB342" s="23"/>
      <c r="AC342" s="23"/>
      <c r="AD342" s="23"/>
      <c r="AE342" s="23"/>
      <c r="AF342" s="23"/>
      <c r="AG342" s="23"/>
      <c r="AH342" s="23"/>
      <c r="AI342" s="23"/>
      <c r="AJ342" s="1" t="str">
        <f t="shared" ref="AJ342:AJ347" si="131">_xlfn.TEXTJOIN(".",TRUE,C342,F342,H342)</f>
        <v>SERVICE.BMS.instance_id,disk.disk_ioUtils</v>
      </c>
      <c r="AK342" s="1"/>
      <c r="AL342" s="1"/>
    </row>
    <row r="343" spans="1:38" hidden="1" x14ac:dyDescent="0.25">
      <c r="A343" s="24">
        <f t="shared" si="129"/>
        <v>342</v>
      </c>
      <c r="B343" s="25" t="s">
        <v>1103</v>
      </c>
      <c r="C343" s="25" t="s">
        <v>1128</v>
      </c>
      <c r="D343" s="27" t="s">
        <v>1105</v>
      </c>
      <c r="E343" s="25" t="s">
        <v>1063</v>
      </c>
      <c r="F343" s="25" t="s">
        <v>1064</v>
      </c>
      <c r="G343" s="25" t="s">
        <v>1066</v>
      </c>
      <c r="H343" s="25" t="s">
        <v>1067</v>
      </c>
      <c r="I343" s="25" t="s">
        <v>1068</v>
      </c>
      <c r="J343" s="25" t="s">
        <v>38</v>
      </c>
      <c r="K343" s="25">
        <v>60</v>
      </c>
      <c r="L343" s="25" t="s">
        <v>39</v>
      </c>
      <c r="M343" s="25" t="s">
        <v>1069</v>
      </c>
      <c r="N343" s="23" t="s">
        <v>55</v>
      </c>
      <c r="O343" s="23" t="s">
        <v>59</v>
      </c>
      <c r="P343" s="23" t="s">
        <v>60</v>
      </c>
      <c r="Q343" s="26">
        <v>3</v>
      </c>
      <c r="R343" s="34" t="s">
        <v>240</v>
      </c>
      <c r="S343" s="26"/>
      <c r="T343" s="26">
        <v>200</v>
      </c>
      <c r="U343" s="23" t="s">
        <v>44</v>
      </c>
      <c r="V343" s="23" t="s">
        <v>62</v>
      </c>
      <c r="W343" s="23"/>
      <c r="X343" s="23" t="e">
        <f>IF(COUNTIF(#REF!,_xlfn.TEXTJOIN(".",,C343,F343,H343)),"是","否")</f>
        <v>#REF!</v>
      </c>
      <c r="Y343" s="23" t="e">
        <f t="shared" si="130"/>
        <v>#REF!</v>
      </c>
      <c r="Z343" s="23"/>
      <c r="AA343" s="23"/>
      <c r="AB343" s="23"/>
      <c r="AC343" s="23"/>
      <c r="AD343" s="23"/>
      <c r="AE343" s="23"/>
      <c r="AF343" s="23"/>
      <c r="AG343" s="23"/>
      <c r="AH343" s="23"/>
      <c r="AI343" s="23"/>
      <c r="AJ343" s="1" t="str">
        <f t="shared" si="131"/>
        <v>SERVICE.BMS.instance_id,disk.disk_writeTime</v>
      </c>
      <c r="AK343" s="1"/>
      <c r="AL343" s="1"/>
    </row>
    <row r="344" spans="1:38" hidden="1" x14ac:dyDescent="0.25">
      <c r="A344" s="24">
        <f t="shared" si="129"/>
        <v>343</v>
      </c>
      <c r="B344" s="25" t="s">
        <v>1103</v>
      </c>
      <c r="C344" s="25" t="s">
        <v>1128</v>
      </c>
      <c r="D344" s="27" t="s">
        <v>1105</v>
      </c>
      <c r="E344" s="25" t="s">
        <v>1063</v>
      </c>
      <c r="F344" s="25" t="s">
        <v>1064</v>
      </c>
      <c r="G344" s="25" t="s">
        <v>1070</v>
      </c>
      <c r="H344" s="25" t="s">
        <v>1071</v>
      </c>
      <c r="I344" s="25" t="s">
        <v>1072</v>
      </c>
      <c r="J344" s="25" t="s">
        <v>38</v>
      </c>
      <c r="K344" s="25">
        <v>60</v>
      </c>
      <c r="L344" s="25" t="s">
        <v>39</v>
      </c>
      <c r="M344" s="25" t="s">
        <v>1069</v>
      </c>
      <c r="N344" s="23" t="s">
        <v>55</v>
      </c>
      <c r="O344" s="23" t="s">
        <v>59</v>
      </c>
      <c r="P344" s="23" t="s">
        <v>60</v>
      </c>
      <c r="Q344" s="26">
        <v>3</v>
      </c>
      <c r="R344" s="34" t="s">
        <v>240</v>
      </c>
      <c r="S344" s="26"/>
      <c r="T344" s="26">
        <v>200</v>
      </c>
      <c r="U344" s="23" t="s">
        <v>44</v>
      </c>
      <c r="V344" s="23" t="s">
        <v>62</v>
      </c>
      <c r="W344" s="23"/>
      <c r="X344" s="23" t="e">
        <f>IF(COUNTIF(#REF!,_xlfn.TEXTJOIN(".",,C344,F344,H344)),"是","否")</f>
        <v>#REF!</v>
      </c>
      <c r="Y344" s="23" t="e">
        <f t="shared" si="130"/>
        <v>#REF!</v>
      </c>
      <c r="Z344" s="23"/>
      <c r="AA344" s="23"/>
      <c r="AB344" s="23"/>
      <c r="AC344" s="23"/>
      <c r="AD344" s="23"/>
      <c r="AE344" s="23"/>
      <c r="AF344" s="23"/>
      <c r="AG344" s="23"/>
      <c r="AH344" s="23"/>
      <c r="AI344" s="23"/>
      <c r="AJ344" s="1" t="str">
        <f t="shared" si="131"/>
        <v>SERVICE.BMS.instance_id,disk.disk_readTime</v>
      </c>
      <c r="AK344" s="1"/>
      <c r="AL344" s="1"/>
    </row>
    <row r="345" spans="1:38" hidden="1" x14ac:dyDescent="0.25">
      <c r="A345" s="24">
        <f t="shared" si="129"/>
        <v>344</v>
      </c>
      <c r="B345" s="25" t="s">
        <v>1131</v>
      </c>
      <c r="C345" s="25" t="s">
        <v>1132</v>
      </c>
      <c r="D345" s="25" t="s">
        <v>1133</v>
      </c>
      <c r="E345" s="25" t="s">
        <v>1133</v>
      </c>
      <c r="F345" s="25" t="s">
        <v>1134</v>
      </c>
      <c r="G345" s="25" t="s">
        <v>72</v>
      </c>
      <c r="H345" s="25" t="s">
        <v>73</v>
      </c>
      <c r="I345" s="22" t="s">
        <v>108</v>
      </c>
      <c r="J345" s="22" t="s">
        <v>38</v>
      </c>
      <c r="K345" s="22">
        <v>300</v>
      </c>
      <c r="L345" s="22" t="s">
        <v>39</v>
      </c>
      <c r="M345" s="22" t="s">
        <v>58</v>
      </c>
      <c r="N345" s="23" t="s">
        <v>55</v>
      </c>
      <c r="O345" s="23" t="s">
        <v>59</v>
      </c>
      <c r="P345" s="23" t="s">
        <v>60</v>
      </c>
      <c r="Q345" s="23">
        <v>3</v>
      </c>
      <c r="R345" s="23" t="s">
        <v>61</v>
      </c>
      <c r="S345" s="23">
        <v>90</v>
      </c>
      <c r="T345" s="23"/>
      <c r="U345" s="22" t="s">
        <v>58</v>
      </c>
      <c r="V345" s="23" t="s">
        <v>946</v>
      </c>
      <c r="W345" s="23"/>
      <c r="X345" s="23" t="e">
        <f>IF(COUNTIF(#REF!,_xlfn.TEXTJOIN(".",,C345,F345,H345)),"是","否")</f>
        <v>#REF!</v>
      </c>
      <c r="Y345" s="23" t="e">
        <f t="shared" si="130"/>
        <v>#REF!</v>
      </c>
      <c r="Z345" s="23"/>
      <c r="AA345" s="23" t="s">
        <v>55</v>
      </c>
      <c r="AB345" s="23" t="s">
        <v>60</v>
      </c>
      <c r="AC345" s="23">
        <v>3</v>
      </c>
      <c r="AD345" s="23" t="s">
        <v>61</v>
      </c>
      <c r="AE345" s="23">
        <v>90</v>
      </c>
      <c r="AF345" s="23"/>
      <c r="AG345" s="23"/>
      <c r="AH345" s="23" t="s">
        <v>58</v>
      </c>
      <c r="AI345" s="23" t="s">
        <v>62</v>
      </c>
      <c r="AJ345" s="1" t="str">
        <f t="shared" si="131"/>
        <v>SYS.CBH.server_id.cpu_util</v>
      </c>
      <c r="AK345" s="1"/>
      <c r="AL345" s="1"/>
    </row>
    <row r="346" spans="1:38" hidden="1" x14ac:dyDescent="0.25">
      <c r="A346" s="24">
        <f t="shared" si="129"/>
        <v>345</v>
      </c>
      <c r="B346" s="25" t="s">
        <v>1131</v>
      </c>
      <c r="C346" s="25" t="s">
        <v>1132</v>
      </c>
      <c r="D346" s="25" t="s">
        <v>1133</v>
      </c>
      <c r="E346" s="25" t="s">
        <v>1133</v>
      </c>
      <c r="F346" s="25" t="s">
        <v>1134</v>
      </c>
      <c r="G346" s="25" t="s">
        <v>76</v>
      </c>
      <c r="H346" s="25" t="s">
        <v>77</v>
      </c>
      <c r="I346" s="22" t="s">
        <v>110</v>
      </c>
      <c r="J346" s="22" t="s">
        <v>38</v>
      </c>
      <c r="K346" s="22">
        <v>300</v>
      </c>
      <c r="L346" s="22" t="s">
        <v>39</v>
      </c>
      <c r="M346" s="22" t="s">
        <v>58</v>
      </c>
      <c r="N346" s="23" t="s">
        <v>55</v>
      </c>
      <c r="O346" s="23" t="s">
        <v>59</v>
      </c>
      <c r="P346" s="23" t="s">
        <v>60</v>
      </c>
      <c r="Q346" s="23">
        <v>3</v>
      </c>
      <c r="R346" s="23" t="s">
        <v>61</v>
      </c>
      <c r="S346" s="23">
        <v>92</v>
      </c>
      <c r="T346" s="23"/>
      <c r="U346" s="22" t="s">
        <v>58</v>
      </c>
      <c r="V346" s="23" t="s">
        <v>946</v>
      </c>
      <c r="W346" s="23"/>
      <c r="X346" s="23" t="e">
        <f>IF(COUNTIF(#REF!,_xlfn.TEXTJOIN(".",,C346,F346,H346)),"是","否")</f>
        <v>#REF!</v>
      </c>
      <c r="Y346" s="23" t="e">
        <f t="shared" si="130"/>
        <v>#REF!</v>
      </c>
      <c r="Z346" s="23"/>
      <c r="AA346" s="23" t="s">
        <v>55</v>
      </c>
      <c r="AB346" s="23" t="s">
        <v>60</v>
      </c>
      <c r="AC346" s="23">
        <v>3</v>
      </c>
      <c r="AD346" s="23" t="s">
        <v>61</v>
      </c>
      <c r="AE346" s="23"/>
      <c r="AF346" s="23">
        <v>90</v>
      </c>
      <c r="AG346" s="23"/>
      <c r="AH346" s="23" t="s">
        <v>58</v>
      </c>
      <c r="AI346" s="23" t="s">
        <v>62</v>
      </c>
      <c r="AJ346" s="1" t="str">
        <f t="shared" si="131"/>
        <v>SYS.CBH.server_id.mem_util</v>
      </c>
      <c r="AK346" s="1"/>
      <c r="AL346" s="1"/>
    </row>
    <row r="347" spans="1:38" hidden="1" x14ac:dyDescent="0.25">
      <c r="A347" s="24">
        <f t="shared" si="129"/>
        <v>346</v>
      </c>
      <c r="B347" s="25" t="s">
        <v>1131</v>
      </c>
      <c r="C347" s="25" t="s">
        <v>1132</v>
      </c>
      <c r="D347" s="25" t="s">
        <v>1133</v>
      </c>
      <c r="E347" s="25" t="s">
        <v>1133</v>
      </c>
      <c r="F347" s="25" t="s">
        <v>1134</v>
      </c>
      <c r="G347" s="25" t="s">
        <v>79</v>
      </c>
      <c r="H347" s="25" t="s">
        <v>463</v>
      </c>
      <c r="I347" s="25" t="s">
        <v>464</v>
      </c>
      <c r="J347" s="25" t="s">
        <v>38</v>
      </c>
      <c r="K347" s="25">
        <v>300</v>
      </c>
      <c r="L347" s="25" t="s">
        <v>39</v>
      </c>
      <c r="M347" s="25" t="s">
        <v>58</v>
      </c>
      <c r="N347" s="23" t="s">
        <v>55</v>
      </c>
      <c r="O347" s="23" t="s">
        <v>59</v>
      </c>
      <c r="P347" s="23" t="s">
        <v>60</v>
      </c>
      <c r="Q347" s="23">
        <v>3</v>
      </c>
      <c r="R347" s="23" t="s">
        <v>240</v>
      </c>
      <c r="S347" s="23">
        <v>80</v>
      </c>
      <c r="T347" s="23">
        <v>85</v>
      </c>
      <c r="U347" s="23" t="s">
        <v>58</v>
      </c>
      <c r="V347" s="23" t="s">
        <v>62</v>
      </c>
      <c r="W347" s="23"/>
      <c r="X347" s="23" t="e">
        <f>IF(COUNTIF(#REF!,_xlfn.TEXTJOIN(".",,C347,F347,H347)),"是","否")</f>
        <v>#REF!</v>
      </c>
      <c r="Y347" s="23" t="e">
        <f t="shared" si="130"/>
        <v>#REF!</v>
      </c>
      <c r="Z347" s="23"/>
      <c r="AA347" s="23" t="s">
        <v>55</v>
      </c>
      <c r="AB347" s="23" t="s">
        <v>60</v>
      </c>
      <c r="AC347" s="23">
        <v>3</v>
      </c>
      <c r="AD347" s="23" t="s">
        <v>61</v>
      </c>
      <c r="AE347" s="23">
        <v>90</v>
      </c>
      <c r="AF347" s="23"/>
      <c r="AG347" s="23"/>
      <c r="AH347" s="23" t="s">
        <v>58</v>
      </c>
      <c r="AI347" s="23" t="s">
        <v>62</v>
      </c>
      <c r="AJ347" s="1" t="str">
        <f t="shared" si="131"/>
        <v>SYS.CBH.server_id.disk_util</v>
      </c>
      <c r="AK347" s="1"/>
      <c r="AL347" s="1"/>
    </row>
    <row r="348" spans="1:38" hidden="1" x14ac:dyDescent="0.25">
      <c r="A348" s="24">
        <f t="shared" ref="A348" si="132">ROW()-1</f>
        <v>347</v>
      </c>
      <c r="B348" s="25" t="s">
        <v>1138</v>
      </c>
      <c r="C348" s="25" t="s">
        <v>1139</v>
      </c>
      <c r="D348" s="25" t="s">
        <v>1140</v>
      </c>
      <c r="E348" s="25" t="s">
        <v>1141</v>
      </c>
      <c r="F348" s="25" t="s">
        <v>750</v>
      </c>
      <c r="G348" s="25" t="s">
        <v>1142</v>
      </c>
      <c r="H348" s="25" t="s">
        <v>1143</v>
      </c>
      <c r="I348" s="25" t="s">
        <v>1144</v>
      </c>
      <c r="J348" s="25" t="s">
        <v>38</v>
      </c>
      <c r="K348" s="25">
        <v>60</v>
      </c>
      <c r="L348" s="25"/>
      <c r="M348" s="25" t="s">
        <v>58</v>
      </c>
      <c r="N348" s="23" t="s">
        <v>55</v>
      </c>
      <c r="O348" s="23" t="s">
        <v>59</v>
      </c>
      <c r="P348" s="23" t="s">
        <v>60</v>
      </c>
      <c r="Q348" s="23">
        <v>2</v>
      </c>
      <c r="R348" s="23" t="s">
        <v>366</v>
      </c>
      <c r="S348" s="23"/>
      <c r="T348" s="23">
        <v>99.97</v>
      </c>
      <c r="U348" s="23" t="s">
        <v>58</v>
      </c>
      <c r="V348" s="23" t="s">
        <v>62</v>
      </c>
      <c r="W348" s="23"/>
      <c r="X348" s="23" t="e">
        <f>IF(COUNTIF(#REF!,_xlfn.TEXTJOIN(".",,C348,F348,H348)),"是","否")</f>
        <v>#REF!</v>
      </c>
      <c r="Y348" s="23" t="e">
        <f t="shared" ref="Y348" si="133">IF(AND(O348="底线指标",X348="是"),"是","否")</f>
        <v>#REF!</v>
      </c>
      <c r="Z348" s="23" t="s">
        <v>55</v>
      </c>
      <c r="AA348" s="27" t="s">
        <v>55</v>
      </c>
      <c r="AB348" s="27" t="s">
        <v>60</v>
      </c>
      <c r="AC348" s="27">
        <v>2</v>
      </c>
      <c r="AD348" s="27" t="s">
        <v>366</v>
      </c>
      <c r="AE348" s="27"/>
      <c r="AF348" s="27">
        <v>99.97</v>
      </c>
      <c r="AG348" s="27"/>
      <c r="AH348" s="27" t="s">
        <v>58</v>
      </c>
      <c r="AI348" s="27" t="s">
        <v>62</v>
      </c>
      <c r="AJ348" s="1" t="str">
        <f t="shared" ref="AJ348" si="134">_xlfn.TEXTJOIN(".",TRUE,C348,F348,H348)</f>
        <v>SYS.OBS.bucket_name.request_success_rate</v>
      </c>
      <c r="AK348" s="1" t="s">
        <v>302</v>
      </c>
      <c r="AL348" s="1"/>
    </row>
    <row r="349" spans="1:38" hidden="1" x14ac:dyDescent="0.25">
      <c r="A349" s="24">
        <f t="shared" ref="A349" si="135">ROW()-1</f>
        <v>348</v>
      </c>
      <c r="B349" s="25" t="s">
        <v>1138</v>
      </c>
      <c r="C349" s="25" t="s">
        <v>1139</v>
      </c>
      <c r="D349" s="25" t="s">
        <v>1140</v>
      </c>
      <c r="E349" s="25" t="s">
        <v>1092</v>
      </c>
      <c r="F349" s="25" t="s">
        <v>1037</v>
      </c>
      <c r="G349" s="25" t="s">
        <v>1142</v>
      </c>
      <c r="H349" s="25" t="s">
        <v>1143</v>
      </c>
      <c r="I349" s="25" t="s">
        <v>1144</v>
      </c>
      <c r="J349" s="25" t="s">
        <v>38</v>
      </c>
      <c r="K349" s="25">
        <v>60</v>
      </c>
      <c r="L349" s="25"/>
      <c r="M349" s="25" t="s">
        <v>58</v>
      </c>
      <c r="N349" s="23" t="s">
        <v>55</v>
      </c>
      <c r="O349" s="23" t="s">
        <v>59</v>
      </c>
      <c r="P349" s="23" t="s">
        <v>60</v>
      </c>
      <c r="Q349" s="23">
        <v>2</v>
      </c>
      <c r="R349" s="23" t="s">
        <v>366</v>
      </c>
      <c r="S349" s="23"/>
      <c r="T349" s="23">
        <v>99.97</v>
      </c>
      <c r="U349" s="23" t="s">
        <v>58</v>
      </c>
      <c r="V349" s="23" t="s">
        <v>62</v>
      </c>
      <c r="W349" s="23"/>
      <c r="X349" s="23" t="e">
        <f>IF(COUNTIF(#REF!,_xlfn.TEXTJOIN(".",,C349,F349,H349)),"是","否")</f>
        <v>#REF!</v>
      </c>
      <c r="Y349" s="23" t="e">
        <f t="shared" ref="Y349" si="136">IF(AND(O349="底线指标",X349="是"),"是","否")</f>
        <v>#REF!</v>
      </c>
      <c r="Z349" s="23" t="s">
        <v>55</v>
      </c>
      <c r="AA349" s="23"/>
      <c r="AB349" s="23"/>
      <c r="AC349" s="23"/>
      <c r="AD349" s="23"/>
      <c r="AE349" s="23"/>
      <c r="AF349" s="23"/>
      <c r="AG349" s="23"/>
      <c r="AH349" s="23"/>
      <c r="AI349" s="23"/>
      <c r="AJ349" s="1" t="str">
        <f t="shared" ref="AJ349" si="137">_xlfn.TEXTJOIN(".",TRUE,C349,F349,H349)</f>
        <v>SYS.OBS.tenant_id.request_success_rate</v>
      </c>
      <c r="AK349" s="1" t="s">
        <v>302</v>
      </c>
      <c r="AL349" s="1"/>
    </row>
    <row r="350" spans="1:38" hidden="1" x14ac:dyDescent="0.25">
      <c r="A350" s="24">
        <f t="shared" ref="A350:A362" si="138">ROW()-1</f>
        <v>349</v>
      </c>
      <c r="B350" s="25" t="s">
        <v>1145</v>
      </c>
      <c r="C350" s="25" t="s">
        <v>1146</v>
      </c>
      <c r="D350" s="27" t="s">
        <v>1147</v>
      </c>
      <c r="E350" s="25" t="s">
        <v>1148</v>
      </c>
      <c r="F350" s="25" t="s">
        <v>1149</v>
      </c>
      <c r="G350" s="25" t="s">
        <v>1152</v>
      </c>
      <c r="H350" s="25" t="s">
        <v>1153</v>
      </c>
      <c r="I350" s="25" t="s">
        <v>1154</v>
      </c>
      <c r="J350" s="25" t="s">
        <v>38</v>
      </c>
      <c r="K350" s="25">
        <v>60</v>
      </c>
      <c r="L350" s="25" t="s">
        <v>45</v>
      </c>
      <c r="M350" s="25"/>
      <c r="N350" s="23" t="s">
        <v>55</v>
      </c>
      <c r="O350" s="23" t="s">
        <v>59</v>
      </c>
      <c r="P350" s="23" t="s">
        <v>60</v>
      </c>
      <c r="Q350" s="23">
        <v>1</v>
      </c>
      <c r="R350" s="23" t="s">
        <v>1155</v>
      </c>
      <c r="S350" s="23"/>
      <c r="T350" s="23">
        <v>1</v>
      </c>
      <c r="U350" s="23" t="s">
        <v>571</v>
      </c>
      <c r="V350" s="23" t="s">
        <v>151</v>
      </c>
      <c r="W350" s="23"/>
      <c r="X350" s="23" t="e">
        <f>IF(COUNTIF(#REF!,_xlfn.TEXTJOIN(".",,C350,F350,H350)),"是","否")</f>
        <v>#REF!</v>
      </c>
      <c r="Y350" s="23" t="e">
        <f t="shared" ref="Y350:Y362" si="139">IF(AND(O350="底线指标",X350="是"),"是","否")</f>
        <v>#REF!</v>
      </c>
      <c r="Z350" s="23" t="s">
        <v>55</v>
      </c>
      <c r="AA350" s="23"/>
      <c r="AB350" s="23"/>
      <c r="AC350" s="23"/>
      <c r="AD350" s="23"/>
      <c r="AE350" s="23"/>
      <c r="AF350" s="23"/>
      <c r="AG350" s="23"/>
      <c r="AH350" s="23"/>
      <c r="AI350" s="23"/>
      <c r="AJ350" s="1" t="str">
        <f t="shared" ref="AJ350:AJ362" si="140">_xlfn.TEXTJOIN(".",TRUE,C350,F350,H350)</f>
        <v>SYS.DCAAS.direct_connect_id.network_status</v>
      </c>
      <c r="AK350" s="1" t="s">
        <v>302</v>
      </c>
      <c r="AL350" s="1"/>
    </row>
    <row r="351" spans="1:38" hidden="1" x14ac:dyDescent="0.25">
      <c r="A351" s="24">
        <f t="shared" si="138"/>
        <v>350</v>
      </c>
      <c r="B351" s="25" t="s">
        <v>1145</v>
      </c>
      <c r="C351" s="25" t="s">
        <v>1146</v>
      </c>
      <c r="D351" s="27" t="s">
        <v>1147</v>
      </c>
      <c r="E351" s="25" t="s">
        <v>1148</v>
      </c>
      <c r="F351" s="25" t="s">
        <v>1149</v>
      </c>
      <c r="G351" s="25" t="s">
        <v>1157</v>
      </c>
      <c r="H351" s="25" t="s">
        <v>1158</v>
      </c>
      <c r="I351" s="25" t="s">
        <v>1159</v>
      </c>
      <c r="J351" s="25" t="s">
        <v>38</v>
      </c>
      <c r="K351" s="25">
        <v>60</v>
      </c>
      <c r="L351" s="25" t="s">
        <v>45</v>
      </c>
      <c r="M351" s="25" t="s">
        <v>531</v>
      </c>
      <c r="N351" s="23" t="s">
        <v>55</v>
      </c>
      <c r="O351" s="23" t="s">
        <v>59</v>
      </c>
      <c r="P351" s="23" t="s">
        <v>60</v>
      </c>
      <c r="Q351" s="23">
        <v>1</v>
      </c>
      <c r="R351" s="23" t="s">
        <v>61</v>
      </c>
      <c r="S351" s="23"/>
      <c r="T351" s="23">
        <v>0</v>
      </c>
      <c r="U351" s="23" t="s">
        <v>531</v>
      </c>
      <c r="V351" s="23" t="s">
        <v>151</v>
      </c>
      <c r="W351" s="23"/>
      <c r="X351" s="23" t="e">
        <f>IF(COUNTIF(#REF!,_xlfn.TEXTJOIN(".",,C351,F351,H351)),"是","否")</f>
        <v>#REF!</v>
      </c>
      <c r="Y351" s="23" t="e">
        <f t="shared" si="139"/>
        <v>#REF!</v>
      </c>
      <c r="Z351" s="23" t="s">
        <v>55</v>
      </c>
      <c r="AA351" s="23"/>
      <c r="AB351" s="23"/>
      <c r="AC351" s="23"/>
      <c r="AD351" s="23"/>
      <c r="AE351" s="23"/>
      <c r="AF351" s="23"/>
      <c r="AG351" s="23"/>
      <c r="AH351" s="23"/>
      <c r="AI351" s="23"/>
      <c r="AJ351" s="1" t="str">
        <f t="shared" si="140"/>
        <v>SYS.DCAAS.direct_connect_id.in_errors</v>
      </c>
      <c r="AK351" s="1" t="s">
        <v>302</v>
      </c>
      <c r="AL351" s="1"/>
    </row>
    <row r="352" spans="1:38" hidden="1" x14ac:dyDescent="0.25">
      <c r="A352" s="24">
        <f t="shared" si="138"/>
        <v>351</v>
      </c>
      <c r="B352" s="25" t="s">
        <v>1145</v>
      </c>
      <c r="C352" s="25" t="s">
        <v>1146</v>
      </c>
      <c r="D352" s="27" t="s">
        <v>1147</v>
      </c>
      <c r="E352" s="25" t="s">
        <v>1160</v>
      </c>
      <c r="F352" s="25" t="s">
        <v>1161</v>
      </c>
      <c r="G352" s="25" t="s">
        <v>1152</v>
      </c>
      <c r="H352" s="25" t="s">
        <v>1153</v>
      </c>
      <c r="I352" s="25" t="s">
        <v>1154</v>
      </c>
      <c r="J352" s="25" t="s">
        <v>38</v>
      </c>
      <c r="K352" s="25">
        <v>60</v>
      </c>
      <c r="L352" s="25" t="s">
        <v>45</v>
      </c>
      <c r="M352" s="25"/>
      <c r="N352" s="23" t="s">
        <v>55</v>
      </c>
      <c r="O352" s="23" t="s">
        <v>59</v>
      </c>
      <c r="P352" s="23" t="s">
        <v>60</v>
      </c>
      <c r="Q352" s="23">
        <v>1</v>
      </c>
      <c r="R352" s="23" t="s">
        <v>1155</v>
      </c>
      <c r="S352" s="23"/>
      <c r="T352" s="23">
        <v>1</v>
      </c>
      <c r="U352" s="23" t="s">
        <v>571</v>
      </c>
      <c r="V352" s="23" t="s">
        <v>151</v>
      </c>
      <c r="W352" s="23"/>
      <c r="X352" s="23" t="e">
        <f>IF(COUNTIF(#REF!,_xlfn.TEXTJOIN(".",,C352,F352,H352)),"是","否")</f>
        <v>#REF!</v>
      </c>
      <c r="Y352" s="23" t="e">
        <f t="shared" si="139"/>
        <v>#REF!</v>
      </c>
      <c r="Z352" s="23" t="s">
        <v>55</v>
      </c>
      <c r="AA352" s="23"/>
      <c r="AB352" s="23"/>
      <c r="AC352" s="23"/>
      <c r="AD352" s="23"/>
      <c r="AE352" s="23"/>
      <c r="AF352" s="23"/>
      <c r="AG352" s="23"/>
      <c r="AH352" s="23"/>
      <c r="AI352" s="23"/>
      <c r="AJ352" s="1" t="str">
        <f t="shared" si="140"/>
        <v>SYS.DCAAS.history_direct_connect_id.network_status</v>
      </c>
      <c r="AK352" s="1" t="s">
        <v>302</v>
      </c>
      <c r="AL352" s="1"/>
    </row>
    <row r="353" spans="1:38" hidden="1" x14ac:dyDescent="0.25">
      <c r="A353" s="24">
        <f t="shared" si="138"/>
        <v>352</v>
      </c>
      <c r="B353" s="25" t="s">
        <v>1145</v>
      </c>
      <c r="C353" s="25" t="s">
        <v>1146</v>
      </c>
      <c r="D353" s="27" t="s">
        <v>1147</v>
      </c>
      <c r="E353" s="25" t="s">
        <v>1160</v>
      </c>
      <c r="F353" s="25" t="s">
        <v>1161</v>
      </c>
      <c r="G353" s="25" t="s">
        <v>532</v>
      </c>
      <c r="H353" s="25" t="s">
        <v>533</v>
      </c>
      <c r="I353" s="25" t="s">
        <v>1162</v>
      </c>
      <c r="J353" s="25" t="s">
        <v>38</v>
      </c>
      <c r="K353" s="25">
        <v>60</v>
      </c>
      <c r="L353" s="25"/>
      <c r="M353" s="25" t="s">
        <v>44</v>
      </c>
      <c r="N353" s="23" t="s">
        <v>55</v>
      </c>
      <c r="O353" s="23" t="s">
        <v>59</v>
      </c>
      <c r="P353" s="23" t="s">
        <v>60</v>
      </c>
      <c r="Q353" s="23">
        <v>3</v>
      </c>
      <c r="R353" s="23" t="s">
        <v>334</v>
      </c>
      <c r="S353" s="23"/>
      <c r="T353" s="23">
        <v>20</v>
      </c>
      <c r="U353" s="23" t="s">
        <v>58</v>
      </c>
      <c r="V353" s="23" t="s">
        <v>62</v>
      </c>
      <c r="W353" s="23"/>
      <c r="X353" s="23" t="e">
        <f>IF(COUNTIF(#REF!,_xlfn.TEXTJOIN(".",,C353,F353,H353)),"是","否")</f>
        <v>#REF!</v>
      </c>
      <c r="Y353" s="23" t="e">
        <f t="shared" si="139"/>
        <v>#REF!</v>
      </c>
      <c r="Z353" s="23" t="s">
        <v>55</v>
      </c>
      <c r="AA353" s="27" t="s">
        <v>55</v>
      </c>
      <c r="AB353" s="27" t="s">
        <v>60</v>
      </c>
      <c r="AC353" s="27">
        <v>3</v>
      </c>
      <c r="AD353" s="27" t="s">
        <v>332</v>
      </c>
      <c r="AE353" s="27">
        <v>20</v>
      </c>
      <c r="AF353" s="27"/>
      <c r="AG353" s="27"/>
      <c r="AH353" s="27" t="s">
        <v>58</v>
      </c>
      <c r="AI353" s="27" t="s">
        <v>62</v>
      </c>
      <c r="AJ353" s="1" t="str">
        <f t="shared" si="140"/>
        <v>SYS.DCAAS.history_direct_connect_id.latency</v>
      </c>
      <c r="AK353" s="1" t="s">
        <v>302</v>
      </c>
      <c r="AL353" s="1"/>
    </row>
    <row r="354" spans="1:38" hidden="1" x14ac:dyDescent="0.25">
      <c r="A354" s="24">
        <f t="shared" si="138"/>
        <v>353</v>
      </c>
      <c r="B354" s="25" t="s">
        <v>1145</v>
      </c>
      <c r="C354" s="25" t="s">
        <v>1146</v>
      </c>
      <c r="D354" s="27" t="s">
        <v>1147</v>
      </c>
      <c r="E354" s="25" t="s">
        <v>1160</v>
      </c>
      <c r="F354" s="25" t="s">
        <v>1161</v>
      </c>
      <c r="G354" s="25" t="s">
        <v>460</v>
      </c>
      <c r="H354" s="25" t="s">
        <v>461</v>
      </c>
      <c r="I354" s="25" t="s">
        <v>1163</v>
      </c>
      <c r="J354" s="25" t="s">
        <v>38</v>
      </c>
      <c r="K354" s="25">
        <v>60</v>
      </c>
      <c r="L354" s="25"/>
      <c r="M354" s="25" t="s">
        <v>58</v>
      </c>
      <c r="N354" s="23" t="s">
        <v>55</v>
      </c>
      <c r="O354" s="23" t="s">
        <v>59</v>
      </c>
      <c r="P354" s="23" t="s">
        <v>60</v>
      </c>
      <c r="Q354" s="23">
        <v>3</v>
      </c>
      <c r="R354" s="23" t="s">
        <v>61</v>
      </c>
      <c r="S354" s="23">
        <v>5</v>
      </c>
      <c r="T354" s="23">
        <v>10</v>
      </c>
      <c r="U354" s="23" t="s">
        <v>58</v>
      </c>
      <c r="V354" s="23" t="s">
        <v>62</v>
      </c>
      <c r="W354" s="23"/>
      <c r="X354" s="23" t="e">
        <f>IF(COUNTIF(#REF!,_xlfn.TEXTJOIN(".",,C354,F354,H354)),"是","否")</f>
        <v>#REF!</v>
      </c>
      <c r="Y354" s="23" t="e">
        <f t="shared" si="139"/>
        <v>#REF!</v>
      </c>
      <c r="Z354" s="23" t="s">
        <v>55</v>
      </c>
      <c r="AA354" s="27" t="s">
        <v>55</v>
      </c>
      <c r="AB354" s="27" t="s">
        <v>60</v>
      </c>
      <c r="AC354" s="27">
        <v>3</v>
      </c>
      <c r="AD354" s="27"/>
      <c r="AE354" s="27"/>
      <c r="AF354" s="27" t="s">
        <v>1164</v>
      </c>
      <c r="AG354" s="27"/>
      <c r="AH354" s="27" t="s">
        <v>58</v>
      </c>
      <c r="AI354" s="27" t="s">
        <v>62</v>
      </c>
      <c r="AJ354" s="1" t="str">
        <f t="shared" si="140"/>
        <v>SYS.DCAAS.history_direct_connect_id.packet_loss_rate</v>
      </c>
      <c r="AK354" s="1" t="s">
        <v>302</v>
      </c>
      <c r="AL354" s="1"/>
    </row>
    <row r="355" spans="1:38" hidden="1" x14ac:dyDescent="0.25">
      <c r="A355" s="24">
        <f t="shared" si="138"/>
        <v>354</v>
      </c>
      <c r="B355" s="25" t="s">
        <v>1145</v>
      </c>
      <c r="C355" s="25" t="s">
        <v>1146</v>
      </c>
      <c r="D355" s="27" t="s">
        <v>1147</v>
      </c>
      <c r="E355" s="25" t="s">
        <v>1165</v>
      </c>
      <c r="F355" s="25" t="s">
        <v>1166</v>
      </c>
      <c r="G355" s="25" t="s">
        <v>529</v>
      </c>
      <c r="H355" s="25" t="s">
        <v>37</v>
      </c>
      <c r="I355" s="22" t="s">
        <v>1150</v>
      </c>
      <c r="J355" s="22" t="s">
        <v>38</v>
      </c>
      <c r="K355" s="22">
        <v>60</v>
      </c>
      <c r="L355" s="22"/>
      <c r="M355" s="22" t="s">
        <v>40</v>
      </c>
      <c r="N355" s="23" t="s">
        <v>55</v>
      </c>
      <c r="O355" s="23" t="s">
        <v>59</v>
      </c>
      <c r="P355" s="23" t="s">
        <v>60</v>
      </c>
      <c r="Q355" s="23">
        <v>3</v>
      </c>
      <c r="R355" s="23" t="s">
        <v>136</v>
      </c>
      <c r="S355" s="23"/>
      <c r="T355" s="23">
        <v>0</v>
      </c>
      <c r="U355" s="22" t="s">
        <v>40</v>
      </c>
      <c r="V355" s="23" t="s">
        <v>276</v>
      </c>
      <c r="W355" s="23"/>
      <c r="X355" s="23" t="e">
        <f>IF(COUNTIF(#REF!,_xlfn.TEXTJOIN(".",,C355,F355,H355)),"是","否")</f>
        <v>#REF!</v>
      </c>
      <c r="Y355" s="23" t="e">
        <f t="shared" si="139"/>
        <v>#REF!</v>
      </c>
      <c r="Z355" s="23"/>
      <c r="AA355" s="27" t="s">
        <v>55</v>
      </c>
      <c r="AB355" s="27" t="s">
        <v>60</v>
      </c>
      <c r="AC355" s="27">
        <v>3</v>
      </c>
      <c r="AD355" s="27"/>
      <c r="AE355" s="27" t="s">
        <v>63</v>
      </c>
      <c r="AF355" s="27" t="s">
        <v>1151</v>
      </c>
      <c r="AG355" s="27"/>
      <c r="AH355" s="27"/>
      <c r="AI355" s="27" t="s">
        <v>62</v>
      </c>
      <c r="AJ355" s="1" t="str">
        <f t="shared" si="140"/>
        <v>SYS.DCAAS.virtual_interface_id.network_incoming_bits_rate</v>
      </c>
      <c r="AK355" s="1"/>
      <c r="AL355" s="1"/>
    </row>
    <row r="356" spans="1:38" hidden="1" x14ac:dyDescent="0.25">
      <c r="A356" s="24">
        <f t="shared" si="138"/>
        <v>355</v>
      </c>
      <c r="B356" s="25" t="s">
        <v>1145</v>
      </c>
      <c r="C356" s="25" t="s">
        <v>1146</v>
      </c>
      <c r="D356" s="27" t="s">
        <v>1147</v>
      </c>
      <c r="E356" s="25" t="s">
        <v>1165</v>
      </c>
      <c r="F356" s="25" t="s">
        <v>1166</v>
      </c>
      <c r="G356" s="25" t="s">
        <v>530</v>
      </c>
      <c r="H356" s="25" t="s">
        <v>42</v>
      </c>
      <c r="I356" s="22" t="s">
        <v>1156</v>
      </c>
      <c r="J356" s="22" t="s">
        <v>38</v>
      </c>
      <c r="K356" s="22">
        <v>60</v>
      </c>
      <c r="L356" s="22"/>
      <c r="M356" s="22" t="s">
        <v>40</v>
      </c>
      <c r="N356" s="23" t="s">
        <v>55</v>
      </c>
      <c r="O356" s="23" t="s">
        <v>59</v>
      </c>
      <c r="P356" s="23" t="s">
        <v>60</v>
      </c>
      <c r="Q356" s="23">
        <v>3</v>
      </c>
      <c r="R356" s="23" t="s">
        <v>136</v>
      </c>
      <c r="S356" s="23"/>
      <c r="T356" s="23">
        <v>0</v>
      </c>
      <c r="U356" s="22" t="s">
        <v>40</v>
      </c>
      <c r="V356" s="23" t="s">
        <v>276</v>
      </c>
      <c r="W356" s="23"/>
      <c r="X356" s="23" t="e">
        <f>IF(COUNTIF(#REF!,_xlfn.TEXTJOIN(".",,C356,F356,H356)),"是","否")</f>
        <v>#REF!</v>
      </c>
      <c r="Y356" s="23" t="e">
        <f t="shared" si="139"/>
        <v>#REF!</v>
      </c>
      <c r="Z356" s="23"/>
      <c r="AA356" s="27" t="s">
        <v>55</v>
      </c>
      <c r="AB356" s="27" t="s">
        <v>60</v>
      </c>
      <c r="AC356" s="27">
        <v>3</v>
      </c>
      <c r="AD356" s="27"/>
      <c r="AE356" s="27" t="s">
        <v>63</v>
      </c>
      <c r="AF356" s="27" t="s">
        <v>1151</v>
      </c>
      <c r="AG356" s="27"/>
      <c r="AH356" s="27"/>
      <c r="AI356" s="27" t="s">
        <v>62</v>
      </c>
      <c r="AJ356" s="1" t="str">
        <f t="shared" si="140"/>
        <v>SYS.DCAAS.virtual_interface_id.network_outgoing_bits_rate</v>
      </c>
      <c r="AK356" s="1"/>
      <c r="AL356" s="1"/>
    </row>
    <row r="357" spans="1:38" hidden="1" x14ac:dyDescent="0.25">
      <c r="A357" s="24">
        <f t="shared" si="138"/>
        <v>356</v>
      </c>
      <c r="B357" s="25" t="s">
        <v>1145</v>
      </c>
      <c r="C357" s="25" t="s">
        <v>1146</v>
      </c>
      <c r="D357" s="27" t="s">
        <v>1147</v>
      </c>
      <c r="E357" s="25" t="s">
        <v>1165</v>
      </c>
      <c r="F357" s="25" t="s">
        <v>1166</v>
      </c>
      <c r="G357" s="25" t="s">
        <v>532</v>
      </c>
      <c r="H357" s="25" t="s">
        <v>533</v>
      </c>
      <c r="I357" s="25" t="s">
        <v>1162</v>
      </c>
      <c r="J357" s="25" t="s">
        <v>38</v>
      </c>
      <c r="K357" s="25">
        <v>60</v>
      </c>
      <c r="L357" s="25"/>
      <c r="M357" s="25" t="s">
        <v>44</v>
      </c>
      <c r="N357" s="23" t="s">
        <v>55</v>
      </c>
      <c r="O357" s="23" t="s">
        <v>59</v>
      </c>
      <c r="P357" s="23" t="s">
        <v>60</v>
      </c>
      <c r="Q357" s="23">
        <v>3</v>
      </c>
      <c r="R357" s="23" t="s">
        <v>334</v>
      </c>
      <c r="S357" s="23"/>
      <c r="T357" s="23">
        <v>20</v>
      </c>
      <c r="U357" s="23" t="s">
        <v>58</v>
      </c>
      <c r="V357" s="23" t="s">
        <v>62</v>
      </c>
      <c r="W357" s="23"/>
      <c r="X357" s="23" t="e">
        <f>IF(COUNTIF(#REF!,_xlfn.TEXTJOIN(".",,C357,F357,H357)),"是","否")</f>
        <v>#REF!</v>
      </c>
      <c r="Y357" s="23" t="e">
        <f t="shared" si="139"/>
        <v>#REF!</v>
      </c>
      <c r="Z357" s="23" t="s">
        <v>55</v>
      </c>
      <c r="AA357" s="27" t="s">
        <v>55</v>
      </c>
      <c r="AB357" s="27" t="s">
        <v>60</v>
      </c>
      <c r="AC357" s="27">
        <v>3</v>
      </c>
      <c r="AD357" s="27" t="s">
        <v>332</v>
      </c>
      <c r="AE357" s="27">
        <v>20</v>
      </c>
      <c r="AF357" s="27"/>
      <c r="AG357" s="27"/>
      <c r="AH357" s="27" t="s">
        <v>58</v>
      </c>
      <c r="AI357" s="27" t="s">
        <v>62</v>
      </c>
      <c r="AJ357" s="1" t="str">
        <f t="shared" si="140"/>
        <v>SYS.DCAAS.virtual_interface_id.latency</v>
      </c>
      <c r="AK357" s="1" t="s">
        <v>302</v>
      </c>
      <c r="AL357" s="1"/>
    </row>
    <row r="358" spans="1:38" hidden="1" x14ac:dyDescent="0.25">
      <c r="A358" s="24">
        <f t="shared" si="138"/>
        <v>357</v>
      </c>
      <c r="B358" s="25" t="s">
        <v>1145</v>
      </c>
      <c r="C358" s="25" t="s">
        <v>1146</v>
      </c>
      <c r="D358" s="27" t="s">
        <v>1147</v>
      </c>
      <c r="E358" s="25" t="s">
        <v>1165</v>
      </c>
      <c r="F358" s="25" t="s">
        <v>1166</v>
      </c>
      <c r="G358" s="25" t="s">
        <v>460</v>
      </c>
      <c r="H358" s="25" t="s">
        <v>461</v>
      </c>
      <c r="I358" s="25" t="s">
        <v>1163</v>
      </c>
      <c r="J358" s="25" t="s">
        <v>38</v>
      </c>
      <c r="K358" s="25">
        <v>60</v>
      </c>
      <c r="L358" s="25"/>
      <c r="M358" s="25" t="s">
        <v>58</v>
      </c>
      <c r="N358" s="23" t="s">
        <v>55</v>
      </c>
      <c r="O358" s="23" t="s">
        <v>59</v>
      </c>
      <c r="P358" s="23" t="s">
        <v>60</v>
      </c>
      <c r="Q358" s="23">
        <v>3</v>
      </c>
      <c r="R358" s="23" t="s">
        <v>61</v>
      </c>
      <c r="S358" s="23">
        <v>5</v>
      </c>
      <c r="T358" s="23">
        <v>10</v>
      </c>
      <c r="U358" s="23" t="s">
        <v>58</v>
      </c>
      <c r="V358" s="23" t="s">
        <v>62</v>
      </c>
      <c r="W358" s="23"/>
      <c r="X358" s="23" t="e">
        <f>IF(COUNTIF(#REF!,_xlfn.TEXTJOIN(".",,C358,F358,H358)),"是","否")</f>
        <v>#REF!</v>
      </c>
      <c r="Y358" s="23" t="e">
        <f t="shared" si="139"/>
        <v>#REF!</v>
      </c>
      <c r="Z358" s="23" t="s">
        <v>55</v>
      </c>
      <c r="AA358" s="27" t="s">
        <v>55</v>
      </c>
      <c r="AB358" s="27" t="s">
        <v>60</v>
      </c>
      <c r="AC358" s="27">
        <v>3</v>
      </c>
      <c r="AD358" s="27" t="s">
        <v>61</v>
      </c>
      <c r="AE358" s="27"/>
      <c r="AF358" s="27" t="s">
        <v>1164</v>
      </c>
      <c r="AG358" s="27"/>
      <c r="AH358" s="27" t="s">
        <v>58</v>
      </c>
      <c r="AI358" s="27" t="s">
        <v>62</v>
      </c>
      <c r="AJ358" s="1" t="str">
        <f t="shared" si="140"/>
        <v>SYS.DCAAS.virtual_interface_id.packet_loss_rate</v>
      </c>
      <c r="AK358" s="1" t="s">
        <v>302</v>
      </c>
      <c r="AL358" s="1"/>
    </row>
    <row r="359" spans="1:38" hidden="1" x14ac:dyDescent="0.25">
      <c r="A359" s="24">
        <f t="shared" si="138"/>
        <v>358</v>
      </c>
      <c r="B359" s="25" t="s">
        <v>1145</v>
      </c>
      <c r="C359" s="25" t="s">
        <v>1146</v>
      </c>
      <c r="D359" s="27" t="s">
        <v>1147</v>
      </c>
      <c r="E359" s="25" t="s">
        <v>1165</v>
      </c>
      <c r="F359" s="25" t="s">
        <v>1166</v>
      </c>
      <c r="G359" s="25" t="s">
        <v>1167</v>
      </c>
      <c r="H359" s="25" t="s">
        <v>1168</v>
      </c>
      <c r="I359" s="25" t="s">
        <v>1169</v>
      </c>
      <c r="J359" s="25" t="s">
        <v>38</v>
      </c>
      <c r="K359" s="25">
        <v>60</v>
      </c>
      <c r="L359" s="25" t="s">
        <v>45</v>
      </c>
      <c r="M359" s="25"/>
      <c r="N359" s="23" t="s">
        <v>55</v>
      </c>
      <c r="O359" s="23" t="s">
        <v>59</v>
      </c>
      <c r="P359" s="23" t="s">
        <v>60</v>
      </c>
      <c r="Q359" s="23">
        <v>1</v>
      </c>
      <c r="R359" s="23" t="s">
        <v>1155</v>
      </c>
      <c r="S359" s="23"/>
      <c r="T359" s="23">
        <v>1</v>
      </c>
      <c r="U359" s="23" t="s">
        <v>571</v>
      </c>
      <c r="V359" s="23" t="s">
        <v>62</v>
      </c>
      <c r="W359" s="23"/>
      <c r="X359" s="23" t="e">
        <f>IF(COUNTIF(#REF!,_xlfn.TEXTJOIN(".",,C359,F359,H359)),"是","否")</f>
        <v>#REF!</v>
      </c>
      <c r="Y359" s="23" t="e">
        <f t="shared" si="139"/>
        <v>#REF!</v>
      </c>
      <c r="Z359" s="23" t="s">
        <v>55</v>
      </c>
      <c r="AA359" s="23"/>
      <c r="AB359" s="23"/>
      <c r="AC359" s="23"/>
      <c r="AD359" s="23"/>
      <c r="AE359" s="23"/>
      <c r="AF359" s="23"/>
      <c r="AG359" s="23"/>
      <c r="AH359" s="23"/>
      <c r="AI359" s="23"/>
      <c r="AJ359" s="1" t="str">
        <f t="shared" si="140"/>
        <v>SYS.DCAAS.virtual_interface_id.bgp_peer_status_v4</v>
      </c>
      <c r="AK359" s="1" t="s">
        <v>302</v>
      </c>
      <c r="AL359" s="1"/>
    </row>
    <row r="360" spans="1:38" hidden="1" x14ac:dyDescent="0.25">
      <c r="A360" s="24">
        <f t="shared" si="138"/>
        <v>359</v>
      </c>
      <c r="B360" s="25" t="s">
        <v>1145</v>
      </c>
      <c r="C360" s="25" t="s">
        <v>1146</v>
      </c>
      <c r="D360" s="27" t="s">
        <v>1147</v>
      </c>
      <c r="E360" s="25" t="s">
        <v>1165</v>
      </c>
      <c r="F360" s="25" t="s">
        <v>1166</v>
      </c>
      <c r="G360" s="25" t="s">
        <v>1170</v>
      </c>
      <c r="H360" s="25" t="s">
        <v>1171</v>
      </c>
      <c r="I360" s="25" t="s">
        <v>1172</v>
      </c>
      <c r="J360" s="25" t="s">
        <v>38</v>
      </c>
      <c r="K360" s="25">
        <v>60</v>
      </c>
      <c r="L360" s="25" t="s">
        <v>45</v>
      </c>
      <c r="M360" s="25"/>
      <c r="N360" s="23" t="s">
        <v>55</v>
      </c>
      <c r="O360" s="23" t="s">
        <v>59</v>
      </c>
      <c r="P360" s="23" t="s">
        <v>60</v>
      </c>
      <c r="Q360" s="23">
        <v>1</v>
      </c>
      <c r="R360" s="23" t="s">
        <v>1155</v>
      </c>
      <c r="S360" s="23"/>
      <c r="T360" s="23">
        <v>1</v>
      </c>
      <c r="U360" s="23" t="s">
        <v>571</v>
      </c>
      <c r="V360" s="23" t="s">
        <v>62</v>
      </c>
      <c r="W360" s="23"/>
      <c r="X360" s="23" t="e">
        <f>IF(COUNTIF(#REF!,_xlfn.TEXTJOIN(".",,C360,F360,H360)),"是","否")</f>
        <v>#REF!</v>
      </c>
      <c r="Y360" s="23" t="e">
        <f t="shared" si="139"/>
        <v>#REF!</v>
      </c>
      <c r="Z360" s="23" t="s">
        <v>55</v>
      </c>
      <c r="AA360" s="23"/>
      <c r="AB360" s="23"/>
      <c r="AC360" s="23"/>
      <c r="AD360" s="23"/>
      <c r="AE360" s="23"/>
      <c r="AF360" s="23"/>
      <c r="AG360" s="23"/>
      <c r="AH360" s="23"/>
      <c r="AI360" s="23"/>
      <c r="AJ360" s="1" t="str">
        <f t="shared" si="140"/>
        <v>SYS.DCAAS.virtual_interface_id.bgp_peer_status_v6</v>
      </c>
      <c r="AK360" s="1" t="s">
        <v>302</v>
      </c>
      <c r="AL360" s="1"/>
    </row>
    <row r="361" spans="1:38" hidden="1" x14ac:dyDescent="0.25">
      <c r="A361" s="24">
        <f t="shared" si="138"/>
        <v>360</v>
      </c>
      <c r="B361" s="25" t="s">
        <v>1173</v>
      </c>
      <c r="C361" s="25" t="s">
        <v>1174</v>
      </c>
      <c r="D361" s="25" t="s">
        <v>1175</v>
      </c>
      <c r="E361" s="25" t="s">
        <v>384</v>
      </c>
      <c r="F361" s="25" t="s">
        <v>709</v>
      </c>
      <c r="G361" s="25" t="s">
        <v>711</v>
      </c>
      <c r="H361" s="25" t="s">
        <v>66</v>
      </c>
      <c r="I361" s="25" t="s">
        <v>1176</v>
      </c>
      <c r="J361" s="25" t="s">
        <v>38</v>
      </c>
      <c r="K361" s="25">
        <v>60</v>
      </c>
      <c r="L361" s="25"/>
      <c r="M361" s="25" t="s">
        <v>58</v>
      </c>
      <c r="N361" s="23" t="s">
        <v>55</v>
      </c>
      <c r="O361" s="23" t="s">
        <v>59</v>
      </c>
      <c r="P361" s="23" t="s">
        <v>60</v>
      </c>
      <c r="Q361" s="23">
        <v>3</v>
      </c>
      <c r="R361" s="23" t="s">
        <v>61</v>
      </c>
      <c r="S361" s="23" t="s">
        <v>63</v>
      </c>
      <c r="T361" s="23">
        <v>80</v>
      </c>
      <c r="U361" s="23" t="s">
        <v>58</v>
      </c>
      <c r="V361" s="23" t="s">
        <v>62</v>
      </c>
      <c r="W361" s="23"/>
      <c r="X361" s="23" t="e">
        <f>IF(COUNTIF(#REF!,_xlfn.TEXTJOIN(".",,C361,F361,H361)),"是","否")</f>
        <v>#REF!</v>
      </c>
      <c r="Y361" s="23" t="e">
        <f t="shared" si="139"/>
        <v>#REF!</v>
      </c>
      <c r="Z361" s="23" t="s">
        <v>55</v>
      </c>
      <c r="AA361" s="27" t="s">
        <v>55</v>
      </c>
      <c r="AB361" s="27" t="s">
        <v>60</v>
      </c>
      <c r="AC361" s="27">
        <v>3</v>
      </c>
      <c r="AD361" s="27"/>
      <c r="AE361" s="27" t="s">
        <v>63</v>
      </c>
      <c r="AF361" s="27" t="s">
        <v>625</v>
      </c>
      <c r="AG361" s="27"/>
      <c r="AH361" s="27" t="s">
        <v>58</v>
      </c>
      <c r="AI361" s="27" t="s">
        <v>62</v>
      </c>
      <c r="AJ361" s="1" t="str">
        <f t="shared" si="140"/>
        <v>SYS.VPC.bandwidth_id.upstream_bandwidth_usage</v>
      </c>
      <c r="AK361" s="1" t="s">
        <v>152</v>
      </c>
      <c r="AL361" s="1"/>
    </row>
    <row r="362" spans="1:38" hidden="1" x14ac:dyDescent="0.25">
      <c r="A362" s="24">
        <f t="shared" si="138"/>
        <v>361</v>
      </c>
      <c r="B362" s="25" t="s">
        <v>1173</v>
      </c>
      <c r="C362" s="25" t="s">
        <v>1174</v>
      </c>
      <c r="D362" s="25" t="s">
        <v>1175</v>
      </c>
      <c r="E362" s="25" t="s">
        <v>384</v>
      </c>
      <c r="F362" s="25" t="s">
        <v>709</v>
      </c>
      <c r="G362" s="25" t="s">
        <v>710</v>
      </c>
      <c r="H362" s="25" t="s">
        <v>57</v>
      </c>
      <c r="I362" s="25" t="s">
        <v>1177</v>
      </c>
      <c r="J362" s="25" t="s">
        <v>38</v>
      </c>
      <c r="K362" s="25">
        <v>60</v>
      </c>
      <c r="L362" s="25" t="s">
        <v>39</v>
      </c>
      <c r="M362" s="25" t="s">
        <v>58</v>
      </c>
      <c r="N362" s="23" t="s">
        <v>55</v>
      </c>
      <c r="O362" s="23" t="s">
        <v>59</v>
      </c>
      <c r="P362" s="23" t="s">
        <v>60</v>
      </c>
      <c r="Q362" s="23">
        <v>3</v>
      </c>
      <c r="R362" s="23" t="s">
        <v>61</v>
      </c>
      <c r="S362" s="23" t="s">
        <v>63</v>
      </c>
      <c r="T362" s="23">
        <v>80</v>
      </c>
      <c r="U362" s="23" t="s">
        <v>58</v>
      </c>
      <c r="V362" s="23" t="s">
        <v>62</v>
      </c>
      <c r="W362" s="23"/>
      <c r="X362" s="23" t="e">
        <f>IF(COUNTIF(#REF!,_xlfn.TEXTJOIN(".",,C362,F362,H362)),"是","否")</f>
        <v>#REF!</v>
      </c>
      <c r="Y362" s="23" t="e">
        <f t="shared" si="139"/>
        <v>#REF!</v>
      </c>
      <c r="Z362" s="23" t="s">
        <v>55</v>
      </c>
      <c r="AA362" s="27" t="s">
        <v>55</v>
      </c>
      <c r="AB362" s="27" t="s">
        <v>60</v>
      </c>
      <c r="AC362" s="27">
        <v>3</v>
      </c>
      <c r="AD362" s="27"/>
      <c r="AE362" s="27" t="s">
        <v>63</v>
      </c>
      <c r="AF362" s="27" t="s">
        <v>625</v>
      </c>
      <c r="AG362" s="27"/>
      <c r="AH362" s="27" t="s">
        <v>58</v>
      </c>
      <c r="AI362" s="27" t="s">
        <v>62</v>
      </c>
      <c r="AJ362" s="1" t="str">
        <f t="shared" si="140"/>
        <v>SYS.VPC.bandwidth_id.downstream_bandwidth_usage</v>
      </c>
      <c r="AK362" s="1" t="s">
        <v>152</v>
      </c>
      <c r="AL362" s="1"/>
    </row>
    <row r="363" spans="1:38" hidden="1" x14ac:dyDescent="0.25">
      <c r="A363" s="24">
        <f t="shared" ref="A363:A369" si="141">ROW()-1</f>
        <v>362</v>
      </c>
      <c r="B363" s="25" t="s">
        <v>1173</v>
      </c>
      <c r="C363" s="25" t="s">
        <v>1174</v>
      </c>
      <c r="D363" s="25" t="s">
        <v>1175</v>
      </c>
      <c r="E363" s="25" t="s">
        <v>1178</v>
      </c>
      <c r="F363" s="25" t="s">
        <v>1179</v>
      </c>
      <c r="G363" s="25" t="s">
        <v>711</v>
      </c>
      <c r="H363" s="25" t="s">
        <v>66</v>
      </c>
      <c r="I363" s="25" t="s">
        <v>1176</v>
      </c>
      <c r="J363" s="25" t="s">
        <v>38</v>
      </c>
      <c r="K363" s="25">
        <v>60</v>
      </c>
      <c r="L363" s="25"/>
      <c r="M363" s="25" t="s">
        <v>58</v>
      </c>
      <c r="N363" s="23" t="s">
        <v>55</v>
      </c>
      <c r="O363" s="23" t="s">
        <v>59</v>
      </c>
      <c r="P363" s="23" t="s">
        <v>60</v>
      </c>
      <c r="Q363" s="23">
        <v>3</v>
      </c>
      <c r="R363" s="23" t="s">
        <v>61</v>
      </c>
      <c r="S363" s="23" t="s">
        <v>63</v>
      </c>
      <c r="T363" s="23">
        <v>80</v>
      </c>
      <c r="U363" s="23" t="s">
        <v>58</v>
      </c>
      <c r="V363" s="23" t="s">
        <v>62</v>
      </c>
      <c r="W363" s="23"/>
      <c r="X363" s="23" t="e">
        <f>IF(COUNTIF(#REF!,_xlfn.TEXTJOIN(".",,C363,F363,H363)),"是","否")</f>
        <v>#REF!</v>
      </c>
      <c r="Y363" s="23" t="e">
        <f t="shared" ref="Y363:Y369" si="142">IF(AND(O363="底线指标",X363="是"),"是","否")</f>
        <v>#REF!</v>
      </c>
      <c r="Z363" s="23" t="s">
        <v>55</v>
      </c>
      <c r="AA363" s="27" t="s">
        <v>55</v>
      </c>
      <c r="AB363" s="27" t="s">
        <v>60</v>
      </c>
      <c r="AC363" s="27">
        <v>3</v>
      </c>
      <c r="AD363" s="27"/>
      <c r="AE363" s="27" t="s">
        <v>63</v>
      </c>
      <c r="AF363" s="27" t="s">
        <v>625</v>
      </c>
      <c r="AG363" s="27"/>
      <c r="AH363" s="27" t="s">
        <v>58</v>
      </c>
      <c r="AI363" s="27" t="s">
        <v>62</v>
      </c>
      <c r="AJ363" s="1" t="str">
        <f t="shared" ref="AJ363:AJ369" si="143">_xlfn.TEXTJOIN(".",TRUE,C363,F363,H363)</f>
        <v>SYS.VPC.publicip_id.upstream_bandwidth_usage</v>
      </c>
      <c r="AK363" s="33" t="s">
        <v>152</v>
      </c>
      <c r="AL363" s="1"/>
    </row>
    <row r="364" spans="1:38" hidden="1" x14ac:dyDescent="0.25">
      <c r="A364" s="24">
        <f t="shared" si="141"/>
        <v>363</v>
      </c>
      <c r="B364" s="25" t="s">
        <v>1173</v>
      </c>
      <c r="C364" s="25" t="s">
        <v>1174</v>
      </c>
      <c r="D364" s="25" t="s">
        <v>1175</v>
      </c>
      <c r="E364" s="25" t="s">
        <v>1178</v>
      </c>
      <c r="F364" s="25" t="s">
        <v>1179</v>
      </c>
      <c r="G364" s="25" t="s">
        <v>710</v>
      </c>
      <c r="H364" s="25" t="s">
        <v>57</v>
      </c>
      <c r="I364" s="25" t="s">
        <v>1177</v>
      </c>
      <c r="J364" s="25" t="s">
        <v>38</v>
      </c>
      <c r="K364" s="25">
        <v>60</v>
      </c>
      <c r="L364" s="25" t="s">
        <v>39</v>
      </c>
      <c r="M364" s="25" t="s">
        <v>58</v>
      </c>
      <c r="N364" s="23" t="s">
        <v>55</v>
      </c>
      <c r="O364" s="23" t="s">
        <v>59</v>
      </c>
      <c r="P364" s="23" t="s">
        <v>60</v>
      </c>
      <c r="Q364" s="23">
        <v>3</v>
      </c>
      <c r="R364" s="23" t="s">
        <v>61</v>
      </c>
      <c r="S364" s="23" t="s">
        <v>63</v>
      </c>
      <c r="T364" s="23">
        <v>80</v>
      </c>
      <c r="U364" s="23" t="s">
        <v>58</v>
      </c>
      <c r="V364" s="23" t="s">
        <v>62</v>
      </c>
      <c r="W364" s="23"/>
      <c r="X364" s="23" t="e">
        <f>IF(COUNTIF(#REF!,_xlfn.TEXTJOIN(".",,C364,F364,H364)),"是","否")</f>
        <v>#REF!</v>
      </c>
      <c r="Y364" s="23" t="e">
        <f t="shared" si="142"/>
        <v>#REF!</v>
      </c>
      <c r="Z364" s="23" t="s">
        <v>55</v>
      </c>
      <c r="AA364" s="27" t="s">
        <v>55</v>
      </c>
      <c r="AB364" s="27" t="s">
        <v>60</v>
      </c>
      <c r="AC364" s="27">
        <v>3</v>
      </c>
      <c r="AD364" s="27"/>
      <c r="AE364" s="27" t="s">
        <v>63</v>
      </c>
      <c r="AF364" s="27" t="s">
        <v>625</v>
      </c>
      <c r="AG364" s="27"/>
      <c r="AH364" s="27" t="s">
        <v>58</v>
      </c>
      <c r="AI364" s="27" t="s">
        <v>62</v>
      </c>
      <c r="AJ364" s="1" t="str">
        <f t="shared" si="143"/>
        <v>SYS.VPC.publicip_id.downstream_bandwidth_usage</v>
      </c>
      <c r="AK364" s="1" t="s">
        <v>152</v>
      </c>
      <c r="AL364" s="1"/>
    </row>
    <row r="365" spans="1:38" hidden="1" x14ac:dyDescent="0.25">
      <c r="A365" s="24">
        <f t="shared" si="141"/>
        <v>364</v>
      </c>
      <c r="B365" s="25" t="s">
        <v>1180</v>
      </c>
      <c r="C365" s="25" t="s">
        <v>1181</v>
      </c>
      <c r="D365" s="25" t="s">
        <v>1182</v>
      </c>
      <c r="E365" s="25" t="s">
        <v>1183</v>
      </c>
      <c r="F365" s="25" t="s">
        <v>1184</v>
      </c>
      <c r="G365" s="25" t="s">
        <v>1185</v>
      </c>
      <c r="H365" s="25" t="s">
        <v>953</v>
      </c>
      <c r="I365" s="25" t="s">
        <v>1186</v>
      </c>
      <c r="J365" s="25" t="s">
        <v>38</v>
      </c>
      <c r="K365" s="25">
        <v>300</v>
      </c>
      <c r="L365" s="25" t="s">
        <v>39</v>
      </c>
      <c r="M365" s="25" t="s">
        <v>58</v>
      </c>
      <c r="N365" s="23" t="s">
        <v>55</v>
      </c>
      <c r="O365" s="23" t="s">
        <v>59</v>
      </c>
      <c r="P365" s="26" t="s">
        <v>60</v>
      </c>
      <c r="Q365" s="26">
        <v>3</v>
      </c>
      <c r="R365" s="26" t="s">
        <v>61</v>
      </c>
      <c r="S365" s="34">
        <v>80</v>
      </c>
      <c r="T365" s="26">
        <v>90</v>
      </c>
      <c r="U365" s="23" t="s">
        <v>58</v>
      </c>
      <c r="V365" s="23" t="s">
        <v>151</v>
      </c>
      <c r="W365" s="23"/>
      <c r="X365" s="23" t="e">
        <f>IF(COUNTIF(#REF!,_xlfn.TEXTJOIN(".",,C365,F365,H365)),"是","否")</f>
        <v>#REF!</v>
      </c>
      <c r="Y365" s="23" t="e">
        <f>IF(AND(#REF!="底线指标",X365="是"),"是","否")</f>
        <v>#REF!</v>
      </c>
      <c r="Z365" s="23"/>
      <c r="AA365" s="23"/>
      <c r="AB365" s="23"/>
      <c r="AC365" s="23"/>
      <c r="AD365" s="23"/>
      <c r="AE365" s="23"/>
      <c r="AF365" s="23"/>
      <c r="AG365" s="23"/>
      <c r="AH365" s="23"/>
      <c r="AI365" s="23"/>
      <c r="AJ365" s="1" t="str">
        <f t="shared" si="143"/>
        <v>SYS.DLI.elastic_resource_pool_id.elastic_resource_pool_disk_usage</v>
      </c>
      <c r="AK365" s="1"/>
      <c r="AL365" s="1"/>
    </row>
    <row r="366" spans="1:38" hidden="1" x14ac:dyDescent="0.25">
      <c r="A366" s="24">
        <f t="shared" si="141"/>
        <v>365</v>
      </c>
      <c r="B366" s="25" t="s">
        <v>1180</v>
      </c>
      <c r="C366" s="25" t="s">
        <v>1181</v>
      </c>
      <c r="D366" s="25" t="s">
        <v>1182</v>
      </c>
      <c r="E366" s="25" t="s">
        <v>1183</v>
      </c>
      <c r="F366" s="25" t="s">
        <v>1184</v>
      </c>
      <c r="G366" s="25" t="s">
        <v>1187</v>
      </c>
      <c r="H366" s="25" t="s">
        <v>954</v>
      </c>
      <c r="I366" s="25" t="s">
        <v>1188</v>
      </c>
      <c r="J366" s="25" t="s">
        <v>38</v>
      </c>
      <c r="K366" s="25">
        <v>300</v>
      </c>
      <c r="L366" s="25" t="s">
        <v>39</v>
      </c>
      <c r="M366" s="25" t="s">
        <v>58</v>
      </c>
      <c r="N366" s="23" t="s">
        <v>55</v>
      </c>
      <c r="O366" s="23" t="s">
        <v>59</v>
      </c>
      <c r="P366" s="26" t="s">
        <v>60</v>
      </c>
      <c r="Q366" s="26">
        <v>3</v>
      </c>
      <c r="R366" s="26" t="s">
        <v>61</v>
      </c>
      <c r="S366" s="34">
        <v>80</v>
      </c>
      <c r="T366" s="26">
        <v>90</v>
      </c>
      <c r="U366" s="23" t="s">
        <v>58</v>
      </c>
      <c r="V366" s="23" t="s">
        <v>151</v>
      </c>
      <c r="W366" s="23"/>
      <c r="X366" s="23" t="e">
        <f>IF(COUNTIF(#REF!,_xlfn.TEXTJOIN(".",,C366,F366,H366)),"是","否")</f>
        <v>#REF!</v>
      </c>
      <c r="Y366" s="23" t="e">
        <f t="shared" si="142"/>
        <v>#REF!</v>
      </c>
      <c r="Z366" s="23"/>
      <c r="AA366" s="23"/>
      <c r="AB366" s="23"/>
      <c r="AC366" s="23"/>
      <c r="AD366" s="23"/>
      <c r="AE366" s="23"/>
      <c r="AF366" s="23"/>
      <c r="AG366" s="23"/>
      <c r="AH366" s="23"/>
      <c r="AI366" s="23"/>
      <c r="AJ366" s="1" t="str">
        <f t="shared" si="143"/>
        <v>SYS.DLI.elastic_resource_pool_id.elastic_resource_pool_disk_max_usage</v>
      </c>
      <c r="AK366" s="1"/>
      <c r="AL366" s="1"/>
    </row>
    <row r="367" spans="1:38" hidden="1" x14ac:dyDescent="0.25">
      <c r="A367" s="24">
        <f t="shared" si="141"/>
        <v>366</v>
      </c>
      <c r="B367" s="25" t="s">
        <v>1180</v>
      </c>
      <c r="C367" s="25" t="s">
        <v>1181</v>
      </c>
      <c r="D367" s="25" t="s">
        <v>1182</v>
      </c>
      <c r="E367" s="25" t="s">
        <v>669</v>
      </c>
      <c r="F367" s="25" t="s">
        <v>1189</v>
      </c>
      <c r="G367" s="25" t="s">
        <v>947</v>
      </c>
      <c r="H367" s="25" t="s">
        <v>948</v>
      </c>
      <c r="I367" s="22" t="s">
        <v>949</v>
      </c>
      <c r="J367" s="22" t="s">
        <v>38</v>
      </c>
      <c r="K367" s="22">
        <v>60</v>
      </c>
      <c r="L367" s="22"/>
      <c r="M367" s="22" t="s">
        <v>43</v>
      </c>
      <c r="N367" s="23" t="s">
        <v>55</v>
      </c>
      <c r="O367" s="23" t="s">
        <v>59</v>
      </c>
      <c r="P367" s="23" t="s">
        <v>60</v>
      </c>
      <c r="Q367" s="23">
        <v>3</v>
      </c>
      <c r="R367" s="23" t="s">
        <v>61</v>
      </c>
      <c r="S367" s="23">
        <v>50</v>
      </c>
      <c r="T367" s="23"/>
      <c r="U367" s="22" t="s">
        <v>172</v>
      </c>
      <c r="V367" s="23" t="s">
        <v>276</v>
      </c>
      <c r="W367" s="23"/>
      <c r="X367" s="23" t="e">
        <f>IF(COUNTIF(#REF!,_xlfn.TEXTJOIN(".",,C367,F367,H367)),"是","否")</f>
        <v>#REF!</v>
      </c>
      <c r="Y367" s="23" t="e">
        <f t="shared" si="142"/>
        <v>#REF!</v>
      </c>
      <c r="Z367" s="23"/>
      <c r="AA367" s="23" t="s">
        <v>55</v>
      </c>
      <c r="AB367" s="23" t="s">
        <v>60</v>
      </c>
      <c r="AC367" s="23">
        <v>3</v>
      </c>
      <c r="AD367" s="23" t="s">
        <v>61</v>
      </c>
      <c r="AE367" s="23"/>
      <c r="AF367" s="23">
        <v>50</v>
      </c>
      <c r="AG367" s="23"/>
      <c r="AH367" s="23"/>
      <c r="AI367" s="23" t="s">
        <v>151</v>
      </c>
      <c r="AJ367" s="1" t="str">
        <f t="shared" si="143"/>
        <v>SYS.DLI.queue_id.queue_job_launching_num</v>
      </c>
      <c r="AK367" s="1"/>
      <c r="AL367" s="1"/>
    </row>
    <row r="368" spans="1:38" hidden="1" x14ac:dyDescent="0.25">
      <c r="A368" s="24">
        <f t="shared" si="141"/>
        <v>367</v>
      </c>
      <c r="B368" s="25" t="s">
        <v>1180</v>
      </c>
      <c r="C368" s="25" t="s">
        <v>1181</v>
      </c>
      <c r="D368" s="25" t="s">
        <v>1182</v>
      </c>
      <c r="E368" s="25" t="s">
        <v>669</v>
      </c>
      <c r="F368" s="25" t="s">
        <v>1189</v>
      </c>
      <c r="G368" s="25" t="s">
        <v>950</v>
      </c>
      <c r="H368" s="25" t="s">
        <v>951</v>
      </c>
      <c r="I368" s="25" t="s">
        <v>952</v>
      </c>
      <c r="J368" s="25" t="s">
        <v>38</v>
      </c>
      <c r="K368" s="25">
        <v>60</v>
      </c>
      <c r="L368" s="25"/>
      <c r="M368" s="25" t="s">
        <v>43</v>
      </c>
      <c r="N368" s="23" t="s">
        <v>55</v>
      </c>
      <c r="O368" s="23" t="s">
        <v>59</v>
      </c>
      <c r="P368" s="26" t="s">
        <v>60</v>
      </c>
      <c r="Q368" s="26">
        <v>3</v>
      </c>
      <c r="R368" s="26" t="s">
        <v>61</v>
      </c>
      <c r="S368" s="34">
        <v>0</v>
      </c>
      <c r="T368" s="26">
        <v>5</v>
      </c>
      <c r="U368" s="23" t="s">
        <v>58</v>
      </c>
      <c r="V368" s="23" t="s">
        <v>151</v>
      </c>
      <c r="W368" s="23"/>
      <c r="X368" s="23" t="e">
        <f>IF(COUNTIF(#REF!,_xlfn.TEXTJOIN(".",,C368,F368,H368)),"是","否")</f>
        <v>#REF!</v>
      </c>
      <c r="Y368" s="23" t="e">
        <f>IF(AND(O365="底线指标",X368="是"),"是","否")</f>
        <v>#REF!</v>
      </c>
      <c r="Z368" s="23"/>
      <c r="AA368" s="23" t="s">
        <v>55</v>
      </c>
      <c r="AB368" s="23" t="s">
        <v>60</v>
      </c>
      <c r="AC368" s="23">
        <v>3</v>
      </c>
      <c r="AD368" s="23" t="s">
        <v>61</v>
      </c>
      <c r="AE368" s="23"/>
      <c r="AF368" s="23" t="s">
        <v>1190</v>
      </c>
      <c r="AG368" s="23"/>
      <c r="AH368" s="23"/>
      <c r="AI368" s="23" t="s">
        <v>151</v>
      </c>
      <c r="AJ368" s="1" t="str">
        <f t="shared" si="143"/>
        <v>SYS.DLI.queue_id.queue_job_failed_num</v>
      </c>
      <c r="AK368" s="1"/>
      <c r="AL368" s="1"/>
    </row>
    <row r="369" spans="1:38" hidden="1" x14ac:dyDescent="0.25">
      <c r="A369" s="24">
        <f t="shared" si="141"/>
        <v>368</v>
      </c>
      <c r="B369" s="25" t="s">
        <v>1180</v>
      </c>
      <c r="C369" s="25" t="s">
        <v>1181</v>
      </c>
      <c r="D369" s="25" t="s">
        <v>1182</v>
      </c>
      <c r="E369" s="25" t="s">
        <v>669</v>
      </c>
      <c r="F369" s="25" t="s">
        <v>1189</v>
      </c>
      <c r="G369" s="25" t="s">
        <v>1191</v>
      </c>
      <c r="H369" s="25" t="s">
        <v>1192</v>
      </c>
      <c r="I369" s="25" t="s">
        <v>1193</v>
      </c>
      <c r="J369" s="25" t="s">
        <v>38</v>
      </c>
      <c r="K369" s="25">
        <v>60</v>
      </c>
      <c r="L369" s="25"/>
      <c r="M369" s="25" t="s">
        <v>58</v>
      </c>
      <c r="N369" s="23" t="s">
        <v>55</v>
      </c>
      <c r="O369" s="23" t="s">
        <v>59</v>
      </c>
      <c r="P369" s="26" t="s">
        <v>60</v>
      </c>
      <c r="Q369" s="26">
        <v>3</v>
      </c>
      <c r="R369" s="26" t="s">
        <v>61</v>
      </c>
      <c r="S369" s="34">
        <v>85</v>
      </c>
      <c r="T369" s="26">
        <v>95</v>
      </c>
      <c r="U369" s="23" t="s">
        <v>58</v>
      </c>
      <c r="V369" s="23" t="s">
        <v>151</v>
      </c>
      <c r="W369" s="23"/>
      <c r="X369" s="23" t="e">
        <f>IF(COUNTIF(#REF!,_xlfn.TEXTJOIN(".",,C369,F369,H369)),"是","否")</f>
        <v>#REF!</v>
      </c>
      <c r="Y369" s="23" t="e">
        <f t="shared" si="142"/>
        <v>#REF!</v>
      </c>
      <c r="Z369" s="23"/>
      <c r="AA369" s="23"/>
      <c r="AB369" s="23"/>
      <c r="AC369" s="23"/>
      <c r="AD369" s="23"/>
      <c r="AE369" s="23"/>
      <c r="AF369" s="23"/>
      <c r="AG369" s="23"/>
      <c r="AH369" s="23"/>
      <c r="AI369" s="23"/>
      <c r="AJ369" s="1" t="str">
        <f t="shared" si="143"/>
        <v>SYS.DLI.queue_id.queue_cpu_usage</v>
      </c>
      <c r="AK369" s="1"/>
      <c r="AL369" s="1"/>
    </row>
    <row r="370" spans="1:38" hidden="1" x14ac:dyDescent="0.25">
      <c r="A370" s="24">
        <f t="shared" ref="A370:A378" si="144">ROW()-1</f>
        <v>369</v>
      </c>
      <c r="B370" s="25" t="s">
        <v>1038</v>
      </c>
      <c r="C370" s="25" t="s">
        <v>1194</v>
      </c>
      <c r="D370" s="25" t="s">
        <v>1040</v>
      </c>
      <c r="E370" s="25" t="s">
        <v>998</v>
      </c>
      <c r="F370" s="25" t="s">
        <v>71</v>
      </c>
      <c r="G370" s="25" t="s">
        <v>72</v>
      </c>
      <c r="H370" s="25" t="s">
        <v>73</v>
      </c>
      <c r="I370" s="25" t="s">
        <v>1195</v>
      </c>
      <c r="J370" s="25" t="s">
        <v>38</v>
      </c>
      <c r="K370" s="25">
        <v>60</v>
      </c>
      <c r="L370" s="25"/>
      <c r="M370" s="25" t="s">
        <v>58</v>
      </c>
      <c r="N370" s="23" t="s">
        <v>55</v>
      </c>
      <c r="O370" s="23" t="s">
        <v>59</v>
      </c>
      <c r="P370" s="23" t="s">
        <v>60</v>
      </c>
      <c r="Q370" s="23">
        <v>3</v>
      </c>
      <c r="R370" s="23" t="s">
        <v>61</v>
      </c>
      <c r="S370" s="23">
        <v>80</v>
      </c>
      <c r="T370" s="23">
        <v>90</v>
      </c>
      <c r="U370" s="23" t="s">
        <v>58</v>
      </c>
      <c r="V370" s="23" t="s">
        <v>62</v>
      </c>
      <c r="W370" s="23"/>
      <c r="X370" s="23" t="e">
        <f>IF(COUNTIF(#REF!,_xlfn.TEXTJOIN(".",,C370,F370,H370)),"是","否")</f>
        <v>#REF!</v>
      </c>
      <c r="Y370" s="23" t="e">
        <f t="shared" ref="Y370:Y378" si="145">IF(AND(O370="底线指标",X370="是"),"是","否")</f>
        <v>#REF!</v>
      </c>
      <c r="Z370" s="23" t="s">
        <v>55</v>
      </c>
      <c r="AA370" s="27" t="s">
        <v>55</v>
      </c>
      <c r="AB370" s="27" t="s">
        <v>60</v>
      </c>
      <c r="AC370" s="27">
        <v>3</v>
      </c>
      <c r="AD370" s="27" t="s">
        <v>61</v>
      </c>
      <c r="AE370" s="27">
        <v>80</v>
      </c>
      <c r="AF370" s="27">
        <v>90</v>
      </c>
      <c r="AG370" s="27"/>
      <c r="AH370" s="27" t="s">
        <v>58</v>
      </c>
      <c r="AI370" s="27" t="s">
        <v>62</v>
      </c>
      <c r="AJ370" s="1" t="str">
        <f t="shared" ref="AJ370:AJ378" si="146">_xlfn.TEXTJOIN(".",TRUE,C370,F370,H370)</f>
        <v>SYS.ECS.instance_id.cpu_util</v>
      </c>
      <c r="AK370" s="1" t="s">
        <v>152</v>
      </c>
      <c r="AL370" s="1"/>
    </row>
    <row r="371" spans="1:38" hidden="1" x14ac:dyDescent="0.25">
      <c r="A371" s="24">
        <f t="shared" si="144"/>
        <v>370</v>
      </c>
      <c r="B371" s="25" t="s">
        <v>1038</v>
      </c>
      <c r="C371" s="25" t="s">
        <v>1194</v>
      </c>
      <c r="D371" s="25" t="s">
        <v>1040</v>
      </c>
      <c r="E371" s="25" t="s">
        <v>998</v>
      </c>
      <c r="F371" s="25" t="s">
        <v>71</v>
      </c>
      <c r="G371" s="25" t="s">
        <v>1196</v>
      </c>
      <c r="H371" s="25" t="s">
        <v>77</v>
      </c>
      <c r="I371" s="25" t="s">
        <v>1197</v>
      </c>
      <c r="J371" s="25" t="s">
        <v>38</v>
      </c>
      <c r="K371" s="25">
        <v>60</v>
      </c>
      <c r="L371" s="25"/>
      <c r="M371" s="25" t="s">
        <v>58</v>
      </c>
      <c r="N371" s="23" t="s">
        <v>55</v>
      </c>
      <c r="O371" s="23" t="s">
        <v>59</v>
      </c>
      <c r="P371" s="23" t="s">
        <v>60</v>
      </c>
      <c r="Q371" s="23">
        <v>3</v>
      </c>
      <c r="R371" s="23" t="s">
        <v>61</v>
      </c>
      <c r="S371" s="23">
        <v>80</v>
      </c>
      <c r="T371" s="23">
        <v>90</v>
      </c>
      <c r="U371" s="23" t="s">
        <v>58</v>
      </c>
      <c r="V371" s="23" t="s">
        <v>62</v>
      </c>
      <c r="W371" s="23"/>
      <c r="X371" s="23" t="e">
        <f>IF(COUNTIF(#REF!,_xlfn.TEXTJOIN(".",,C371,F371,H371)),"是","否")</f>
        <v>#REF!</v>
      </c>
      <c r="Y371" s="23" t="e">
        <f t="shared" si="145"/>
        <v>#REF!</v>
      </c>
      <c r="Z371" s="23" t="s">
        <v>55</v>
      </c>
      <c r="AA371" s="27" t="s">
        <v>55</v>
      </c>
      <c r="AB371" s="27" t="s">
        <v>60</v>
      </c>
      <c r="AC371" s="27">
        <v>3</v>
      </c>
      <c r="AD371" s="27" t="s">
        <v>61</v>
      </c>
      <c r="AE371" s="27">
        <v>80</v>
      </c>
      <c r="AF371" s="27">
        <v>90</v>
      </c>
      <c r="AG371" s="27"/>
      <c r="AH371" s="27" t="s">
        <v>58</v>
      </c>
      <c r="AI371" s="27" t="s">
        <v>62</v>
      </c>
      <c r="AJ371" s="1" t="str">
        <f t="shared" si="146"/>
        <v>SYS.ECS.instance_id.mem_util</v>
      </c>
      <c r="AK371" s="1" t="s">
        <v>152</v>
      </c>
      <c r="AL371" s="1"/>
    </row>
    <row r="372" spans="1:38" hidden="1" x14ac:dyDescent="0.25">
      <c r="A372" s="24">
        <f t="shared" si="144"/>
        <v>371</v>
      </c>
      <c r="B372" s="25" t="s">
        <v>1038</v>
      </c>
      <c r="C372" s="25" t="s">
        <v>1194</v>
      </c>
      <c r="D372" s="25" t="s">
        <v>1040</v>
      </c>
      <c r="E372" s="25" t="s">
        <v>998</v>
      </c>
      <c r="F372" s="25" t="s">
        <v>71</v>
      </c>
      <c r="G372" s="25" t="s">
        <v>1198</v>
      </c>
      <c r="H372" s="25" t="s">
        <v>80</v>
      </c>
      <c r="I372" s="25" t="s">
        <v>1199</v>
      </c>
      <c r="J372" s="25" t="s">
        <v>38</v>
      </c>
      <c r="K372" s="25">
        <v>60</v>
      </c>
      <c r="L372" s="25"/>
      <c r="M372" s="25" t="s">
        <v>58</v>
      </c>
      <c r="N372" s="23" t="s">
        <v>55</v>
      </c>
      <c r="O372" s="23" t="s">
        <v>59</v>
      </c>
      <c r="P372" s="23" t="s">
        <v>60</v>
      </c>
      <c r="Q372" s="23">
        <v>3</v>
      </c>
      <c r="R372" s="23" t="s">
        <v>61</v>
      </c>
      <c r="S372" s="23">
        <v>80</v>
      </c>
      <c r="T372" s="23">
        <v>90</v>
      </c>
      <c r="U372" s="23" t="s">
        <v>58</v>
      </c>
      <c r="V372" s="23" t="s">
        <v>62</v>
      </c>
      <c r="W372" s="23"/>
      <c r="X372" s="23" t="e">
        <f>IF(COUNTIF(#REF!,_xlfn.TEXTJOIN(".",,C372,F372,H372)),"是","否")</f>
        <v>#REF!</v>
      </c>
      <c r="Y372" s="23" t="e">
        <f t="shared" si="145"/>
        <v>#REF!</v>
      </c>
      <c r="Z372" s="23" t="s">
        <v>55</v>
      </c>
      <c r="AA372" s="27" t="s">
        <v>55</v>
      </c>
      <c r="AB372" s="27" t="s">
        <v>60</v>
      </c>
      <c r="AC372" s="27">
        <v>3</v>
      </c>
      <c r="AD372" s="27" t="s">
        <v>61</v>
      </c>
      <c r="AE372" s="27">
        <v>80</v>
      </c>
      <c r="AF372" s="27">
        <v>90</v>
      </c>
      <c r="AG372" s="27"/>
      <c r="AH372" s="27" t="s">
        <v>58</v>
      </c>
      <c r="AI372" s="27" t="s">
        <v>62</v>
      </c>
      <c r="AJ372" s="1" t="str">
        <f t="shared" si="146"/>
        <v>SYS.ECS.instance_id.disk_util_inband</v>
      </c>
      <c r="AK372" s="1" t="s">
        <v>152</v>
      </c>
      <c r="AL372" s="1"/>
    </row>
    <row r="373" spans="1:38" hidden="1" x14ac:dyDescent="0.25">
      <c r="A373" s="24">
        <f t="shared" si="144"/>
        <v>372</v>
      </c>
      <c r="B373" s="25" t="s">
        <v>1200</v>
      </c>
      <c r="C373" s="25" t="s">
        <v>1201</v>
      </c>
      <c r="D373" s="25" t="s">
        <v>1202</v>
      </c>
      <c r="E373" s="25" t="s">
        <v>1206</v>
      </c>
      <c r="F373" s="25" t="s">
        <v>1207</v>
      </c>
      <c r="G373" s="25" t="s">
        <v>1203</v>
      </c>
      <c r="H373" s="25" t="s">
        <v>1208</v>
      </c>
      <c r="I373" s="25" t="s">
        <v>1209</v>
      </c>
      <c r="J373" s="25" t="s">
        <v>38</v>
      </c>
      <c r="K373" s="25">
        <v>60</v>
      </c>
      <c r="L373" s="25"/>
      <c r="M373" s="25" t="s">
        <v>46</v>
      </c>
      <c r="N373" s="23" t="s">
        <v>55</v>
      </c>
      <c r="O373" s="23" t="s">
        <v>59</v>
      </c>
      <c r="P373" s="23" t="s">
        <v>60</v>
      </c>
      <c r="Q373" s="23">
        <v>1</v>
      </c>
      <c r="R373" s="23" t="s">
        <v>61</v>
      </c>
      <c r="S373" s="23">
        <v>1</v>
      </c>
      <c r="T373" s="23">
        <v>5</v>
      </c>
      <c r="U373" s="23" t="s">
        <v>46</v>
      </c>
      <c r="V373" s="23" t="s">
        <v>151</v>
      </c>
      <c r="W373" s="23"/>
      <c r="X373" s="23" t="e">
        <f>IF(COUNTIF(#REF!,_xlfn.TEXTJOIN(".",,C373,F373,H373)),"是","否")</f>
        <v>#REF!</v>
      </c>
      <c r="Y373" s="23" t="e">
        <f t="shared" si="145"/>
        <v>#REF!</v>
      </c>
      <c r="Z373" s="23"/>
      <c r="AA373" s="23"/>
      <c r="AB373" s="23"/>
      <c r="AC373" s="23"/>
      <c r="AD373" s="23"/>
      <c r="AE373" s="23"/>
      <c r="AF373" s="23"/>
      <c r="AG373" s="23"/>
      <c r="AH373" s="23"/>
      <c r="AI373" s="23"/>
      <c r="AJ373" s="1" t="str">
        <f t="shared" si="146"/>
        <v>SYS.FunctionGraph.package-functionname.failcount</v>
      </c>
      <c r="AK373" s="1"/>
      <c r="AL373" s="1"/>
    </row>
    <row r="374" spans="1:38" hidden="1" x14ac:dyDescent="0.25">
      <c r="A374" s="24">
        <f t="shared" si="144"/>
        <v>373</v>
      </c>
      <c r="B374" s="25" t="s">
        <v>1200</v>
      </c>
      <c r="C374" s="25" t="s">
        <v>1201</v>
      </c>
      <c r="D374" s="25" t="s">
        <v>1202</v>
      </c>
      <c r="E374" s="25" t="s">
        <v>1206</v>
      </c>
      <c r="F374" s="25" t="s">
        <v>1207</v>
      </c>
      <c r="G374" s="25" t="s">
        <v>1204</v>
      </c>
      <c r="H374" s="25" t="s">
        <v>1210</v>
      </c>
      <c r="I374" s="25" t="s">
        <v>1205</v>
      </c>
      <c r="J374" s="25" t="s">
        <v>38</v>
      </c>
      <c r="K374" s="25">
        <v>60</v>
      </c>
      <c r="L374" s="25"/>
      <c r="M374" s="25" t="s">
        <v>46</v>
      </c>
      <c r="N374" s="23" t="s">
        <v>55</v>
      </c>
      <c r="O374" s="23" t="s">
        <v>59</v>
      </c>
      <c r="P374" s="23" t="s">
        <v>60</v>
      </c>
      <c r="Q374" s="23">
        <v>1</v>
      </c>
      <c r="R374" s="23" t="s">
        <v>61</v>
      </c>
      <c r="S374" s="23">
        <v>1</v>
      </c>
      <c r="T374" s="23">
        <v>5</v>
      </c>
      <c r="U374" s="23" t="s">
        <v>46</v>
      </c>
      <c r="V374" s="23" t="s">
        <v>151</v>
      </c>
      <c r="W374" s="23"/>
      <c r="X374" s="23" t="e">
        <f>IF(COUNTIF(#REF!,_xlfn.TEXTJOIN(".",,C374,F374,H374)),"是","否")</f>
        <v>#REF!</v>
      </c>
      <c r="Y374" s="23" t="e">
        <f t="shared" si="145"/>
        <v>#REF!</v>
      </c>
      <c r="Z374" s="23"/>
      <c r="AA374" s="23"/>
      <c r="AB374" s="23"/>
      <c r="AC374" s="23"/>
      <c r="AD374" s="23"/>
      <c r="AE374" s="23"/>
      <c r="AF374" s="23"/>
      <c r="AG374" s="23"/>
      <c r="AH374" s="23"/>
      <c r="AI374" s="23"/>
      <c r="AJ374" s="1" t="str">
        <f t="shared" si="146"/>
        <v>SYS.FunctionGraph.package-functionname.rejectcount</v>
      </c>
      <c r="AK374" s="1"/>
      <c r="AL374" s="1"/>
    </row>
    <row r="375" spans="1:38" hidden="1" x14ac:dyDescent="0.25">
      <c r="A375" s="24">
        <f t="shared" si="144"/>
        <v>374</v>
      </c>
      <c r="B375" s="25" t="s">
        <v>1200</v>
      </c>
      <c r="C375" s="25" t="s">
        <v>1201</v>
      </c>
      <c r="D375" s="25" t="s">
        <v>1202</v>
      </c>
      <c r="E375" s="25" t="s">
        <v>1206</v>
      </c>
      <c r="F375" s="25" t="s">
        <v>1207</v>
      </c>
      <c r="G375" s="25" t="s">
        <v>1211</v>
      </c>
      <c r="H375" s="25" t="s">
        <v>1212</v>
      </c>
      <c r="I375" s="25" t="s">
        <v>1213</v>
      </c>
      <c r="J375" s="25" t="s">
        <v>38</v>
      </c>
      <c r="K375" s="25">
        <v>60</v>
      </c>
      <c r="L375" s="25" t="s">
        <v>39</v>
      </c>
      <c r="M375" s="25" t="s">
        <v>58</v>
      </c>
      <c r="N375" s="23" t="s">
        <v>55</v>
      </c>
      <c r="O375" s="23" t="s">
        <v>59</v>
      </c>
      <c r="P375" s="23" t="s">
        <v>60</v>
      </c>
      <c r="Q375" s="23">
        <v>1</v>
      </c>
      <c r="R375" s="23" t="s">
        <v>366</v>
      </c>
      <c r="S375" s="23">
        <v>100</v>
      </c>
      <c r="T375" s="23">
        <v>99.5</v>
      </c>
      <c r="U375" s="23" t="s">
        <v>58</v>
      </c>
      <c r="V375" s="23" t="s">
        <v>276</v>
      </c>
      <c r="W375" s="23"/>
      <c r="X375" s="23" t="e">
        <f>IF(COUNTIF(#REF!,_xlfn.TEXTJOIN(".",,C375,F375,H375)),"是","否")</f>
        <v>#REF!</v>
      </c>
      <c r="Y375" s="23" t="e">
        <f t="shared" si="145"/>
        <v>#REF!</v>
      </c>
      <c r="Z375" s="23"/>
      <c r="AA375" s="23"/>
      <c r="AB375" s="23"/>
      <c r="AC375" s="23"/>
      <c r="AD375" s="23"/>
      <c r="AE375" s="23"/>
      <c r="AF375" s="23"/>
      <c r="AG375" s="23"/>
      <c r="AH375" s="23"/>
      <c r="AI375" s="23"/>
      <c r="AJ375" s="1" t="str">
        <f t="shared" si="146"/>
        <v>SYS.FunctionGraph.package-functionname.failRate</v>
      </c>
      <c r="AK375" s="1"/>
      <c r="AL375" s="1"/>
    </row>
    <row r="376" spans="1:38" hidden="1" x14ac:dyDescent="0.25">
      <c r="A376" s="24">
        <f t="shared" si="144"/>
        <v>375</v>
      </c>
      <c r="B376" s="25" t="s">
        <v>1200</v>
      </c>
      <c r="C376" s="25" t="s">
        <v>1201</v>
      </c>
      <c r="D376" s="25" t="s">
        <v>1202</v>
      </c>
      <c r="E376" s="25" t="s">
        <v>1206</v>
      </c>
      <c r="F376" s="25" t="s">
        <v>1207</v>
      </c>
      <c r="G376" s="25" t="s">
        <v>1214</v>
      </c>
      <c r="H376" s="25" t="s">
        <v>1215</v>
      </c>
      <c r="I376" s="25" t="s">
        <v>1216</v>
      </c>
      <c r="J376" s="25" t="s">
        <v>38</v>
      </c>
      <c r="K376" s="25">
        <v>60</v>
      </c>
      <c r="L376" s="25" t="s">
        <v>45</v>
      </c>
      <c r="M376" s="25" t="s">
        <v>46</v>
      </c>
      <c r="N376" s="23" t="s">
        <v>55</v>
      </c>
      <c r="O376" s="23" t="s">
        <v>59</v>
      </c>
      <c r="P376" s="23" t="s">
        <v>60</v>
      </c>
      <c r="Q376" s="23">
        <v>1</v>
      </c>
      <c r="R376" s="23" t="s">
        <v>61</v>
      </c>
      <c r="S376" s="23">
        <v>1</v>
      </c>
      <c r="T376" s="23">
        <v>5</v>
      </c>
      <c r="U376" s="22" t="s">
        <v>46</v>
      </c>
      <c r="V376" s="23" t="s">
        <v>151</v>
      </c>
      <c r="W376" s="23"/>
      <c r="X376" s="23" t="e">
        <f>IF(COUNTIF(#REF!,_xlfn.TEXTJOIN(".",,C376,F376,H376)),"是","否")</f>
        <v>#REF!</v>
      </c>
      <c r="Y376" s="23" t="e">
        <f t="shared" si="145"/>
        <v>#REF!</v>
      </c>
      <c r="Z376" s="23"/>
      <c r="AA376" s="23" t="s">
        <v>55</v>
      </c>
      <c r="AB376" s="23" t="s">
        <v>60</v>
      </c>
      <c r="AC376" s="23">
        <v>1</v>
      </c>
      <c r="AD376" s="23" t="s">
        <v>61</v>
      </c>
      <c r="AE376" s="23"/>
      <c r="AF376" s="23">
        <v>5</v>
      </c>
      <c r="AG376" s="23"/>
      <c r="AH376" s="23"/>
      <c r="AI376" s="23" t="s">
        <v>151</v>
      </c>
      <c r="AJ376" s="1" t="str">
        <f t="shared" si="146"/>
        <v>SYS.FunctionGraph.package-functionname.systemErrorCount</v>
      </c>
      <c r="AK376" s="1"/>
      <c r="AL376" s="1"/>
    </row>
    <row r="377" spans="1:38" hidden="1" x14ac:dyDescent="0.25">
      <c r="A377" s="24">
        <f t="shared" si="144"/>
        <v>376</v>
      </c>
      <c r="B377" s="25" t="s">
        <v>1200</v>
      </c>
      <c r="C377" s="25" t="s">
        <v>1201</v>
      </c>
      <c r="D377" s="25" t="s">
        <v>1202</v>
      </c>
      <c r="E377" s="25" t="s">
        <v>1206</v>
      </c>
      <c r="F377" s="25" t="s">
        <v>1207</v>
      </c>
      <c r="G377" s="25" t="s">
        <v>1217</v>
      </c>
      <c r="H377" s="25" t="s">
        <v>1218</v>
      </c>
      <c r="I377" s="25" t="s">
        <v>1219</v>
      </c>
      <c r="J377" s="25" t="s">
        <v>38</v>
      </c>
      <c r="K377" s="25">
        <v>60</v>
      </c>
      <c r="L377" s="25" t="s">
        <v>45</v>
      </c>
      <c r="M377" s="25" t="s">
        <v>46</v>
      </c>
      <c r="N377" s="23" t="s">
        <v>55</v>
      </c>
      <c r="O377" s="23" t="s">
        <v>59</v>
      </c>
      <c r="P377" s="23" t="s">
        <v>60</v>
      </c>
      <c r="Q377" s="23">
        <v>1</v>
      </c>
      <c r="R377" s="23" t="s">
        <v>61</v>
      </c>
      <c r="S377" s="23">
        <v>1</v>
      </c>
      <c r="T377" s="23">
        <v>5</v>
      </c>
      <c r="U377" s="22" t="s">
        <v>46</v>
      </c>
      <c r="V377" s="23" t="s">
        <v>151</v>
      </c>
      <c r="W377" s="23"/>
      <c r="X377" s="23" t="e">
        <f>IF(COUNTIF(#REF!,_xlfn.TEXTJOIN(".",,C377,F377,H377)),"是","否")</f>
        <v>#REF!</v>
      </c>
      <c r="Y377" s="23" t="e">
        <f t="shared" si="145"/>
        <v>#REF!</v>
      </c>
      <c r="Z377" s="23"/>
      <c r="AA377" s="23"/>
      <c r="AB377" s="23"/>
      <c r="AC377" s="23"/>
      <c r="AD377" s="23"/>
      <c r="AE377" s="23"/>
      <c r="AF377" s="23"/>
      <c r="AG377" s="23"/>
      <c r="AH377" s="23"/>
      <c r="AI377" s="23"/>
      <c r="AJ377" s="1" t="str">
        <f t="shared" si="146"/>
        <v>SYS.FunctionGraph.package-functionname.functionErrorCount</v>
      </c>
      <c r="AK377" s="1"/>
      <c r="AL377" s="1"/>
    </row>
    <row r="378" spans="1:38" hidden="1" x14ac:dyDescent="0.25">
      <c r="A378" s="24">
        <f t="shared" si="144"/>
        <v>377</v>
      </c>
      <c r="B378" s="25" t="s">
        <v>1220</v>
      </c>
      <c r="C378" s="25" t="s">
        <v>1221</v>
      </c>
      <c r="D378" s="25" t="s">
        <v>1222</v>
      </c>
      <c r="E378" s="25" t="s">
        <v>1223</v>
      </c>
      <c r="F378" s="25" t="s">
        <v>71</v>
      </c>
      <c r="G378" s="25" t="s">
        <v>1224</v>
      </c>
      <c r="H378" s="25" t="s">
        <v>1225</v>
      </c>
      <c r="I378" s="25" t="s">
        <v>1226</v>
      </c>
      <c r="J378" s="25" t="s">
        <v>38</v>
      </c>
      <c r="K378" s="25">
        <v>900</v>
      </c>
      <c r="L378" s="25" t="s">
        <v>39</v>
      </c>
      <c r="M378" s="25" t="s">
        <v>58</v>
      </c>
      <c r="N378" s="23" t="s">
        <v>55</v>
      </c>
      <c r="O378" s="23" t="s">
        <v>59</v>
      </c>
      <c r="P378" s="26" t="s">
        <v>60</v>
      </c>
      <c r="Q378" s="26">
        <v>3</v>
      </c>
      <c r="R378" s="26" t="s">
        <v>240</v>
      </c>
      <c r="S378" s="26">
        <v>80</v>
      </c>
      <c r="T378" s="26">
        <v>100</v>
      </c>
      <c r="U378" s="34" t="s">
        <v>58</v>
      </c>
      <c r="V378" s="23" t="s">
        <v>62</v>
      </c>
      <c r="W378" s="23"/>
      <c r="X378" s="23" t="e">
        <f>IF(COUNTIF(#REF!,_xlfn.TEXTJOIN(".",,C378,F378,H378)),"是","否")</f>
        <v>#REF!</v>
      </c>
      <c r="Y378" s="23" t="e">
        <f t="shared" si="145"/>
        <v>#REF!</v>
      </c>
      <c r="Z378" s="23"/>
      <c r="AA378" s="23" t="s">
        <v>55</v>
      </c>
      <c r="AB378" s="23" t="s">
        <v>60</v>
      </c>
      <c r="AC378" s="23">
        <v>3</v>
      </c>
      <c r="AD378" s="23" t="s">
        <v>61</v>
      </c>
      <c r="AE378" s="23">
        <v>80</v>
      </c>
      <c r="AF378" s="23"/>
      <c r="AG378" s="23"/>
      <c r="AH378" s="23" t="s">
        <v>58</v>
      </c>
      <c r="AI378" s="23" t="s">
        <v>62</v>
      </c>
      <c r="AJ378" s="1" t="str">
        <f t="shared" si="146"/>
        <v>SYS.CBR.instance_id.vault_util</v>
      </c>
      <c r="AK378" s="1"/>
      <c r="AL378" s="1"/>
    </row>
    <row r="379" spans="1:38" hidden="1" x14ac:dyDescent="0.25">
      <c r="A379" s="24">
        <f t="shared" ref="A379:A384" si="147">ROW()-1</f>
        <v>378</v>
      </c>
      <c r="B379" s="25" t="s">
        <v>1227</v>
      </c>
      <c r="C379" s="25" t="s">
        <v>1228</v>
      </c>
      <c r="D379" s="25" t="s">
        <v>1229</v>
      </c>
      <c r="E379" s="25" t="s">
        <v>1230</v>
      </c>
      <c r="F379" s="25" t="s">
        <v>1231</v>
      </c>
      <c r="G379" s="25" t="s">
        <v>1232</v>
      </c>
      <c r="H379" s="25" t="s">
        <v>1233</v>
      </c>
      <c r="I379" s="25" t="s">
        <v>1234</v>
      </c>
      <c r="J379" s="25" t="s">
        <v>38</v>
      </c>
      <c r="K379" s="25">
        <v>300</v>
      </c>
      <c r="L379" s="25" t="s">
        <v>45</v>
      </c>
      <c r="M379" s="25"/>
      <c r="N379" s="23" t="s">
        <v>55</v>
      </c>
      <c r="O379" s="23" t="s">
        <v>59</v>
      </c>
      <c r="P379" s="26" t="s">
        <v>60</v>
      </c>
      <c r="Q379" s="26">
        <v>3</v>
      </c>
      <c r="R379" s="26" t="s">
        <v>240</v>
      </c>
      <c r="S379" s="36"/>
      <c r="T379" s="26">
        <v>1</v>
      </c>
      <c r="U379" s="26"/>
      <c r="V379" s="23" t="s">
        <v>499</v>
      </c>
      <c r="W379" s="23"/>
      <c r="X379" s="23" t="e">
        <f>IF(COUNTIF(#REF!,_xlfn.TEXTJOIN(".",,C379,F379,H379)),"是","否")</f>
        <v>#REF!</v>
      </c>
      <c r="Y379" s="23" t="e">
        <f t="shared" ref="Y379:Y384" si="148">IF(AND(O379="底线指标",X379="是"),"是","否")</f>
        <v>#REF!</v>
      </c>
      <c r="Z379" s="23"/>
      <c r="AA379" s="23"/>
      <c r="AB379" s="23"/>
      <c r="AC379" s="23"/>
      <c r="AD379" s="23"/>
      <c r="AE379" s="23"/>
      <c r="AF379" s="23"/>
      <c r="AG379" s="23"/>
      <c r="AH379" s="23"/>
      <c r="AI379" s="23"/>
      <c r="AJ379" s="1" t="str">
        <f t="shared" ref="AJ379:AJ384" si="149">_xlfn.TEXTJOIN(".",TRUE,C379,F379,H379)</f>
        <v>SYS.HSS.host_id.agent_status</v>
      </c>
      <c r="AK379" s="1"/>
      <c r="AL379" s="1"/>
    </row>
    <row r="380" spans="1:38" hidden="1" x14ac:dyDescent="0.25">
      <c r="A380" s="24">
        <f t="shared" si="147"/>
        <v>379</v>
      </c>
      <c r="B380" s="25" t="s">
        <v>1227</v>
      </c>
      <c r="C380" s="25" t="s">
        <v>1228</v>
      </c>
      <c r="D380" s="25" t="s">
        <v>1229</v>
      </c>
      <c r="E380" s="25" t="s">
        <v>1230</v>
      </c>
      <c r="F380" s="25" t="s">
        <v>1231</v>
      </c>
      <c r="G380" s="25" t="s">
        <v>1235</v>
      </c>
      <c r="H380" s="25" t="s">
        <v>1236</v>
      </c>
      <c r="I380" s="25" t="s">
        <v>1237</v>
      </c>
      <c r="J380" s="25" t="s">
        <v>38</v>
      </c>
      <c r="K380" s="25">
        <v>300</v>
      </c>
      <c r="L380" s="25" t="s">
        <v>45</v>
      </c>
      <c r="M380" s="25"/>
      <c r="N380" s="23" t="s">
        <v>55</v>
      </c>
      <c r="O380" s="23" t="s">
        <v>59</v>
      </c>
      <c r="P380" s="26" t="s">
        <v>60</v>
      </c>
      <c r="Q380" s="26">
        <v>3</v>
      </c>
      <c r="R380" s="26" t="s">
        <v>240</v>
      </c>
      <c r="S380" s="36"/>
      <c r="T380" s="26">
        <v>1</v>
      </c>
      <c r="U380" s="26"/>
      <c r="V380" s="23" t="s">
        <v>499</v>
      </c>
      <c r="W380" s="23"/>
      <c r="X380" s="23" t="e">
        <f>IF(COUNTIF(#REF!,_xlfn.TEXTJOIN(".",,C380,F380,H380)),"是","否")</f>
        <v>#REF!</v>
      </c>
      <c r="Y380" s="23" t="e">
        <f t="shared" si="148"/>
        <v>#REF!</v>
      </c>
      <c r="Z380" s="23"/>
      <c r="AA380" s="23"/>
      <c r="AB380" s="23"/>
      <c r="AC380" s="23"/>
      <c r="AD380" s="23"/>
      <c r="AE380" s="23"/>
      <c r="AF380" s="23"/>
      <c r="AG380" s="23"/>
      <c r="AH380" s="23"/>
      <c r="AI380" s="23"/>
      <c r="AJ380" s="1" t="str">
        <f t="shared" si="149"/>
        <v>SYS.HSS.host_id.protect_status</v>
      </c>
      <c r="AK380" s="1"/>
      <c r="AL380" s="1"/>
    </row>
    <row r="381" spans="1:38" hidden="1" x14ac:dyDescent="0.25">
      <c r="A381" s="24">
        <f t="shared" si="147"/>
        <v>380</v>
      </c>
      <c r="B381" s="25" t="s">
        <v>1238</v>
      </c>
      <c r="C381" s="25" t="s">
        <v>1239</v>
      </c>
      <c r="D381" s="27" t="s">
        <v>1240</v>
      </c>
      <c r="E381" s="25" t="s">
        <v>1241</v>
      </c>
      <c r="F381" s="25" t="s">
        <v>178</v>
      </c>
      <c r="G381" s="25" t="s">
        <v>1242</v>
      </c>
      <c r="H381" s="25" t="s">
        <v>463</v>
      </c>
      <c r="I381" s="25" t="s">
        <v>1243</v>
      </c>
      <c r="J381" s="25" t="s">
        <v>38</v>
      </c>
      <c r="K381" s="25">
        <v>60</v>
      </c>
      <c r="L381" s="25"/>
      <c r="M381" s="25" t="s">
        <v>58</v>
      </c>
      <c r="N381" s="23" t="s">
        <v>55</v>
      </c>
      <c r="O381" s="23" t="s">
        <v>59</v>
      </c>
      <c r="P381" s="23" t="s">
        <v>60</v>
      </c>
      <c r="Q381" s="26">
        <v>5</v>
      </c>
      <c r="R381" s="26" t="s">
        <v>240</v>
      </c>
      <c r="S381" s="26">
        <v>85</v>
      </c>
      <c r="T381" s="26">
        <v>90</v>
      </c>
      <c r="U381" s="23" t="s">
        <v>58</v>
      </c>
      <c r="V381" s="23" t="s">
        <v>62</v>
      </c>
      <c r="W381" s="23"/>
      <c r="X381" s="23" t="e">
        <f>IF(COUNTIF(#REF!,_xlfn.TEXTJOIN(".",,C381,F381,H381)),"是","否")</f>
        <v>#REF!</v>
      </c>
      <c r="Y381" s="23" t="e">
        <f t="shared" si="148"/>
        <v>#REF!</v>
      </c>
      <c r="Z381" s="23" t="s">
        <v>55</v>
      </c>
      <c r="AA381" s="27" t="s">
        <v>55</v>
      </c>
      <c r="AB381" s="27" t="s">
        <v>60</v>
      </c>
      <c r="AC381" s="27">
        <v>3</v>
      </c>
      <c r="AD381" s="27" t="s">
        <v>240</v>
      </c>
      <c r="AE381" s="27">
        <v>85</v>
      </c>
      <c r="AF381" s="27">
        <v>90</v>
      </c>
      <c r="AG381" s="27"/>
      <c r="AH381" s="27" t="s">
        <v>58</v>
      </c>
      <c r="AI381" s="27" t="s">
        <v>753</v>
      </c>
      <c r="AJ381" s="1" t="str">
        <f t="shared" si="149"/>
        <v>SYS.ES.cluster_id.disk_util</v>
      </c>
      <c r="AK381" s="1" t="s">
        <v>152</v>
      </c>
      <c r="AL381" s="1"/>
    </row>
    <row r="382" spans="1:38" hidden="1" x14ac:dyDescent="0.25">
      <c r="A382" s="24">
        <f t="shared" si="147"/>
        <v>381</v>
      </c>
      <c r="B382" s="25" t="s">
        <v>1238</v>
      </c>
      <c r="C382" s="25" t="s">
        <v>1239</v>
      </c>
      <c r="D382" s="27" t="s">
        <v>1240</v>
      </c>
      <c r="E382" s="25" t="s">
        <v>1241</v>
      </c>
      <c r="F382" s="25" t="s">
        <v>178</v>
      </c>
      <c r="G382" s="25" t="s">
        <v>1244</v>
      </c>
      <c r="H382" s="25" t="s">
        <v>1245</v>
      </c>
      <c r="I382" s="25" t="s">
        <v>1246</v>
      </c>
      <c r="J382" s="25" t="s">
        <v>38</v>
      </c>
      <c r="K382" s="25">
        <v>60</v>
      </c>
      <c r="L382" s="25"/>
      <c r="M382" s="25"/>
      <c r="N382" s="23" t="s">
        <v>55</v>
      </c>
      <c r="O382" s="23" t="s">
        <v>59</v>
      </c>
      <c r="P382" s="23" t="s">
        <v>60</v>
      </c>
      <c r="Q382" s="26">
        <v>5</v>
      </c>
      <c r="R382" s="26" t="s">
        <v>240</v>
      </c>
      <c r="S382" s="26">
        <v>1</v>
      </c>
      <c r="T382" s="26">
        <v>2</v>
      </c>
      <c r="U382" s="23" t="s">
        <v>571</v>
      </c>
      <c r="V382" s="23" t="s">
        <v>62</v>
      </c>
      <c r="W382" s="23"/>
      <c r="X382" s="23" t="e">
        <f>IF(COUNTIF(#REF!,_xlfn.TEXTJOIN(".",,C382,F382,H382)),"是","否")</f>
        <v>#REF!</v>
      </c>
      <c r="Y382" s="23" t="e">
        <f t="shared" si="148"/>
        <v>#REF!</v>
      </c>
      <c r="Z382" s="23" t="s">
        <v>55</v>
      </c>
      <c r="AA382" s="27" t="s">
        <v>55</v>
      </c>
      <c r="AB382" s="27" t="s">
        <v>60</v>
      </c>
      <c r="AC382" s="27">
        <v>1</v>
      </c>
      <c r="AD382" s="27" t="s">
        <v>240</v>
      </c>
      <c r="AE382" s="27"/>
      <c r="AF382" s="27">
        <v>2</v>
      </c>
      <c r="AG382" s="27" t="s">
        <v>1247</v>
      </c>
      <c r="AH382" s="27"/>
      <c r="AI382" s="27" t="s">
        <v>151</v>
      </c>
      <c r="AJ382" s="1" t="str">
        <f t="shared" si="149"/>
        <v>SYS.ES.cluster_id.status</v>
      </c>
      <c r="AK382" s="1" t="s">
        <v>302</v>
      </c>
      <c r="AL382" s="1"/>
    </row>
    <row r="383" spans="1:38" hidden="1" x14ac:dyDescent="0.25">
      <c r="A383" s="24">
        <f t="shared" si="147"/>
        <v>382</v>
      </c>
      <c r="B383" s="25" t="s">
        <v>1238</v>
      </c>
      <c r="C383" s="25" t="s">
        <v>1239</v>
      </c>
      <c r="D383" s="27" t="s">
        <v>1240</v>
      </c>
      <c r="E383" s="25" t="s">
        <v>1241</v>
      </c>
      <c r="F383" s="25" t="s">
        <v>178</v>
      </c>
      <c r="G383" s="25" t="s">
        <v>1248</v>
      </c>
      <c r="H383" s="25" t="s">
        <v>1249</v>
      </c>
      <c r="I383" s="25" t="s">
        <v>1250</v>
      </c>
      <c r="J383" s="25" t="s">
        <v>38</v>
      </c>
      <c r="K383" s="25">
        <v>60</v>
      </c>
      <c r="L383" s="25"/>
      <c r="M383" s="25" t="s">
        <v>58</v>
      </c>
      <c r="N383" s="23" t="s">
        <v>55</v>
      </c>
      <c r="O383" s="23" t="s">
        <v>59</v>
      </c>
      <c r="P383" s="23" t="s">
        <v>60</v>
      </c>
      <c r="Q383" s="26">
        <v>1</v>
      </c>
      <c r="R383" s="26" t="s">
        <v>61</v>
      </c>
      <c r="S383" s="26">
        <v>80</v>
      </c>
      <c r="T383" s="26">
        <v>85</v>
      </c>
      <c r="U383" s="23" t="s">
        <v>58</v>
      </c>
      <c r="V383" s="23" t="s">
        <v>62</v>
      </c>
      <c r="W383" s="23"/>
      <c r="X383" s="23" t="e">
        <f>IF(COUNTIF(#REF!,_xlfn.TEXTJOIN(".",,C383,F383,H383)),"是","否")</f>
        <v>#REF!</v>
      </c>
      <c r="Y383" s="23" t="e">
        <f t="shared" si="148"/>
        <v>#REF!</v>
      </c>
      <c r="Z383" s="23" t="s">
        <v>55</v>
      </c>
      <c r="AA383" s="27" t="s">
        <v>55</v>
      </c>
      <c r="AB383" s="27" t="s">
        <v>60</v>
      </c>
      <c r="AC383" s="27">
        <v>3</v>
      </c>
      <c r="AD383" s="27" t="s">
        <v>61</v>
      </c>
      <c r="AE383" s="27">
        <v>85</v>
      </c>
      <c r="AF383" s="27">
        <v>95</v>
      </c>
      <c r="AG383" s="27"/>
      <c r="AH383" s="27" t="s">
        <v>58</v>
      </c>
      <c r="AI383" s="27" t="s">
        <v>151</v>
      </c>
      <c r="AJ383" s="1" t="str">
        <f t="shared" si="149"/>
        <v>SYS.ES.cluster_id.max_jvm_heap_usage</v>
      </c>
      <c r="AK383" s="1" t="s">
        <v>152</v>
      </c>
      <c r="AL383" s="1"/>
    </row>
    <row r="384" spans="1:38" hidden="1" x14ac:dyDescent="0.25">
      <c r="A384" s="24">
        <f t="shared" si="147"/>
        <v>383</v>
      </c>
      <c r="B384" s="25" t="s">
        <v>1238</v>
      </c>
      <c r="C384" s="25" t="s">
        <v>1239</v>
      </c>
      <c r="D384" s="27" t="s">
        <v>1240</v>
      </c>
      <c r="E384" s="25" t="s">
        <v>1241</v>
      </c>
      <c r="F384" s="25" t="s">
        <v>178</v>
      </c>
      <c r="G384" s="25" t="s">
        <v>1251</v>
      </c>
      <c r="H384" s="25" t="s">
        <v>1252</v>
      </c>
      <c r="I384" s="25" t="s">
        <v>1253</v>
      </c>
      <c r="J384" s="25" t="s">
        <v>38</v>
      </c>
      <c r="K384" s="25">
        <v>60</v>
      </c>
      <c r="L384" s="25"/>
      <c r="M384" s="25" t="s">
        <v>58</v>
      </c>
      <c r="N384" s="23" t="s">
        <v>55</v>
      </c>
      <c r="O384" s="23" t="s">
        <v>59</v>
      </c>
      <c r="P384" s="23" t="s">
        <v>60</v>
      </c>
      <c r="Q384" s="26">
        <v>2</v>
      </c>
      <c r="R384" s="26" t="s">
        <v>61</v>
      </c>
      <c r="S384" s="26">
        <v>80</v>
      </c>
      <c r="T384" s="26">
        <v>85</v>
      </c>
      <c r="U384" s="23" t="s">
        <v>58</v>
      </c>
      <c r="V384" s="23" t="s">
        <v>62</v>
      </c>
      <c r="W384" s="23"/>
      <c r="X384" s="23" t="e">
        <f>IF(COUNTIF(#REF!,_xlfn.TEXTJOIN(".",,C384,F384,H384)),"是","否")</f>
        <v>#REF!</v>
      </c>
      <c r="Y384" s="23" t="e">
        <f t="shared" si="148"/>
        <v>#REF!</v>
      </c>
      <c r="Z384" s="23" t="s">
        <v>55</v>
      </c>
      <c r="AA384" s="27" t="s">
        <v>55</v>
      </c>
      <c r="AB384" s="27" t="s">
        <v>60</v>
      </c>
      <c r="AC384" s="27">
        <v>3</v>
      </c>
      <c r="AD384" s="27" t="s">
        <v>61</v>
      </c>
      <c r="AE384" s="27">
        <v>85</v>
      </c>
      <c r="AF384" s="27">
        <v>95</v>
      </c>
      <c r="AG384" s="27"/>
      <c r="AH384" s="27" t="s">
        <v>58</v>
      </c>
      <c r="AI384" s="27" t="s">
        <v>151</v>
      </c>
      <c r="AJ384" s="1" t="str">
        <f t="shared" si="149"/>
        <v>SYS.ES.cluster_id.max_cpu_usage</v>
      </c>
      <c r="AK384" s="1" t="s">
        <v>152</v>
      </c>
      <c r="AL384" s="1"/>
    </row>
    <row r="385" spans="1:38" hidden="1" x14ac:dyDescent="0.25">
      <c r="A385" s="24">
        <f t="shared" ref="A385:A394" si="150">ROW()-1</f>
        <v>384</v>
      </c>
      <c r="B385" s="25" t="s">
        <v>1238</v>
      </c>
      <c r="C385" s="25" t="s">
        <v>1239</v>
      </c>
      <c r="D385" s="27" t="s">
        <v>1240</v>
      </c>
      <c r="E385" s="25" t="s">
        <v>1241</v>
      </c>
      <c r="F385" s="25" t="s">
        <v>178</v>
      </c>
      <c r="G385" s="25" t="s">
        <v>1254</v>
      </c>
      <c r="H385" s="25" t="s">
        <v>1255</v>
      </c>
      <c r="I385" s="22" t="s">
        <v>1256</v>
      </c>
      <c r="J385" s="22" t="s">
        <v>38</v>
      </c>
      <c r="K385" s="22">
        <v>60</v>
      </c>
      <c r="L385" s="22"/>
      <c r="M385" s="22"/>
      <c r="N385" s="23" t="s">
        <v>55</v>
      </c>
      <c r="O385" s="23" t="s">
        <v>59</v>
      </c>
      <c r="P385" s="23" t="s">
        <v>60</v>
      </c>
      <c r="Q385" s="23">
        <v>3</v>
      </c>
      <c r="R385" s="23" t="s">
        <v>61</v>
      </c>
      <c r="S385" s="23"/>
      <c r="T385" s="23">
        <v>30000</v>
      </c>
      <c r="U385" s="22"/>
      <c r="V385" s="23" t="s">
        <v>459</v>
      </c>
      <c r="W385" s="23"/>
      <c r="X385" s="23" t="e">
        <f>IF(COUNTIF(#REF!,_xlfn.TEXTJOIN(".",,C385,F385,H385)),"是","否")</f>
        <v>#REF!</v>
      </c>
      <c r="Y385" s="23" t="e">
        <f t="shared" ref="Y385:Y394" si="151">IF(AND(O385="底线指标",X385="是"),"是","否")</f>
        <v>#REF!</v>
      </c>
      <c r="Z385" s="23"/>
      <c r="AA385" s="27" t="s">
        <v>55</v>
      </c>
      <c r="AB385" s="27" t="s">
        <v>60</v>
      </c>
      <c r="AC385" s="27">
        <v>3</v>
      </c>
      <c r="AD385" s="27" t="s">
        <v>61</v>
      </c>
      <c r="AE385" s="27" t="s">
        <v>1257</v>
      </c>
      <c r="AF385" s="27"/>
      <c r="AG385" s="27"/>
      <c r="AH385" s="27"/>
      <c r="AI385" s="27" t="s">
        <v>753</v>
      </c>
      <c r="AJ385" s="1" t="str">
        <f t="shared" ref="AJ385:AJ394" si="152">_xlfn.TEXTJOIN(".",TRUE,C385,F385,H385)</f>
        <v>SYS.ES.cluster_id.total_shards_count</v>
      </c>
      <c r="AK385" s="1"/>
      <c r="AL385" s="1"/>
    </row>
    <row r="386" spans="1:38" hidden="1" x14ac:dyDescent="0.25">
      <c r="A386" s="24">
        <f t="shared" si="150"/>
        <v>385</v>
      </c>
      <c r="B386" s="25" t="s">
        <v>1238</v>
      </c>
      <c r="C386" s="25" t="s">
        <v>1239</v>
      </c>
      <c r="D386" s="27" t="s">
        <v>1240</v>
      </c>
      <c r="E386" s="25" t="s">
        <v>1241</v>
      </c>
      <c r="F386" s="25" t="s">
        <v>178</v>
      </c>
      <c r="G386" s="25" t="s">
        <v>1258</v>
      </c>
      <c r="H386" s="25" t="s">
        <v>1259</v>
      </c>
      <c r="I386" s="25" t="s">
        <v>1260</v>
      </c>
      <c r="J386" s="25" t="s">
        <v>38</v>
      </c>
      <c r="K386" s="25">
        <v>60</v>
      </c>
      <c r="L386" s="25"/>
      <c r="M386" s="25"/>
      <c r="N386" s="23" t="s">
        <v>55</v>
      </c>
      <c r="O386" s="23" t="s">
        <v>59</v>
      </c>
      <c r="P386" s="23" t="s">
        <v>60</v>
      </c>
      <c r="Q386" s="26">
        <v>3</v>
      </c>
      <c r="R386" s="26" t="s">
        <v>331</v>
      </c>
      <c r="S386" s="26"/>
      <c r="T386" s="26">
        <v>10</v>
      </c>
      <c r="U386" s="23" t="s">
        <v>58</v>
      </c>
      <c r="V386" s="23" t="s">
        <v>62</v>
      </c>
      <c r="W386" s="23"/>
      <c r="X386" s="23" t="e">
        <f>IF(COUNTIF(#REF!,_xlfn.TEXTJOIN(".",,C386,F386,H386)),"是","否")</f>
        <v>#REF!</v>
      </c>
      <c r="Y386" s="23" t="e">
        <f t="shared" si="151"/>
        <v>#REF!</v>
      </c>
      <c r="Z386" s="23" t="s">
        <v>55</v>
      </c>
      <c r="AA386" s="23"/>
      <c r="AB386" s="23"/>
      <c r="AC386" s="23"/>
      <c r="AD386" s="23"/>
      <c r="AE386" s="23"/>
      <c r="AF386" s="23"/>
      <c r="AG386" s="23"/>
      <c r="AH386" s="23"/>
      <c r="AI386" s="23"/>
      <c r="AJ386" s="1" t="str">
        <f t="shared" si="152"/>
        <v>SYS.ES.cluster_id.nodes_count</v>
      </c>
      <c r="AK386" s="1" t="s">
        <v>302</v>
      </c>
      <c r="AL386" s="1"/>
    </row>
    <row r="387" spans="1:38" hidden="1" x14ac:dyDescent="0.25">
      <c r="A387" s="24">
        <f t="shared" si="150"/>
        <v>386</v>
      </c>
      <c r="B387" s="25" t="s">
        <v>1238</v>
      </c>
      <c r="C387" s="25" t="s">
        <v>1239</v>
      </c>
      <c r="D387" s="27" t="s">
        <v>1240</v>
      </c>
      <c r="E387" s="25" t="s">
        <v>1241</v>
      </c>
      <c r="F387" s="25" t="s">
        <v>178</v>
      </c>
      <c r="G387" s="25" t="s">
        <v>1261</v>
      </c>
      <c r="H387" s="25" t="s">
        <v>1262</v>
      </c>
      <c r="I387" s="25" t="s">
        <v>1263</v>
      </c>
      <c r="J387" s="25" t="s">
        <v>38</v>
      </c>
      <c r="K387" s="25">
        <v>60</v>
      </c>
      <c r="L387" s="25"/>
      <c r="M387" s="25"/>
      <c r="N387" s="23" t="s">
        <v>55</v>
      </c>
      <c r="O387" s="23" t="s">
        <v>59</v>
      </c>
      <c r="P387" s="23" t="s">
        <v>60</v>
      </c>
      <c r="Q387" s="23">
        <v>5</v>
      </c>
      <c r="R387" s="23" t="s">
        <v>240</v>
      </c>
      <c r="S387" s="23">
        <v>500</v>
      </c>
      <c r="T387" s="23">
        <v>1000</v>
      </c>
      <c r="U387" s="23" t="s">
        <v>571</v>
      </c>
      <c r="V387" s="23" t="s">
        <v>62</v>
      </c>
      <c r="W387" s="23"/>
      <c r="X387" s="23" t="e">
        <f>IF(COUNTIF(#REF!,_xlfn.TEXTJOIN(".",,C387,F387,H387)),"是","否")</f>
        <v>#REF!</v>
      </c>
      <c r="Y387" s="23" t="e">
        <f t="shared" si="151"/>
        <v>#REF!</v>
      </c>
      <c r="Z387" s="23" t="s">
        <v>55</v>
      </c>
      <c r="AA387" s="27" t="s">
        <v>55</v>
      </c>
      <c r="AB387" s="27" t="s">
        <v>60</v>
      </c>
      <c r="AC387" s="27">
        <v>3</v>
      </c>
      <c r="AD387" s="27" t="s">
        <v>240</v>
      </c>
      <c r="AE387" s="27">
        <v>500</v>
      </c>
      <c r="AF387" s="27"/>
      <c r="AG387" s="27"/>
      <c r="AH387" s="27"/>
      <c r="AI387" s="27" t="s">
        <v>151</v>
      </c>
      <c r="AJ387" s="1" t="str">
        <f t="shared" si="152"/>
        <v>SYS.ES.cluster_id.sum_thread_pool_write_queue</v>
      </c>
      <c r="AK387" s="1" t="s">
        <v>302</v>
      </c>
      <c r="AL387" s="1"/>
    </row>
    <row r="388" spans="1:38" hidden="1" x14ac:dyDescent="0.25">
      <c r="A388" s="24">
        <f t="shared" si="150"/>
        <v>387</v>
      </c>
      <c r="B388" s="25" t="s">
        <v>1238</v>
      </c>
      <c r="C388" s="25" t="s">
        <v>1239</v>
      </c>
      <c r="D388" s="27" t="s">
        <v>1240</v>
      </c>
      <c r="E388" s="25" t="s">
        <v>1241</v>
      </c>
      <c r="F388" s="25" t="s">
        <v>178</v>
      </c>
      <c r="G388" s="25" t="s">
        <v>1264</v>
      </c>
      <c r="H388" s="25" t="s">
        <v>1265</v>
      </c>
      <c r="I388" s="25" t="s">
        <v>1266</v>
      </c>
      <c r="J388" s="25" t="s">
        <v>38</v>
      </c>
      <c r="K388" s="25">
        <v>60</v>
      </c>
      <c r="L388" s="25"/>
      <c r="M388" s="25"/>
      <c r="N388" s="23" t="s">
        <v>55</v>
      </c>
      <c r="O388" s="23" t="s">
        <v>59</v>
      </c>
      <c r="P388" s="23" t="s">
        <v>60</v>
      </c>
      <c r="Q388" s="23">
        <v>5</v>
      </c>
      <c r="R388" s="23" t="s">
        <v>240</v>
      </c>
      <c r="S388" s="23">
        <v>500</v>
      </c>
      <c r="T388" s="23">
        <v>800</v>
      </c>
      <c r="U388" s="23" t="s">
        <v>571</v>
      </c>
      <c r="V388" s="23" t="s">
        <v>62</v>
      </c>
      <c r="W388" s="23"/>
      <c r="X388" s="23" t="e">
        <f>IF(COUNTIF(#REF!,_xlfn.TEXTJOIN(".",,C388,F388,H388)),"是","否")</f>
        <v>#REF!</v>
      </c>
      <c r="Y388" s="23" t="e">
        <f t="shared" si="151"/>
        <v>#REF!</v>
      </c>
      <c r="Z388" s="23" t="s">
        <v>55</v>
      </c>
      <c r="AA388" s="27" t="s">
        <v>55</v>
      </c>
      <c r="AB388" s="27" t="s">
        <v>60</v>
      </c>
      <c r="AC388" s="27">
        <v>3</v>
      </c>
      <c r="AD388" s="27" t="s">
        <v>240</v>
      </c>
      <c r="AE388" s="27">
        <v>500</v>
      </c>
      <c r="AF388" s="27"/>
      <c r="AG388" s="27"/>
      <c r="AH388" s="27"/>
      <c r="AI388" s="27" t="s">
        <v>151</v>
      </c>
      <c r="AJ388" s="1" t="str">
        <f t="shared" si="152"/>
        <v>SYS.ES.cluster_id.sum_thread_pool_search_queue</v>
      </c>
      <c r="AK388" s="1" t="s">
        <v>302</v>
      </c>
      <c r="AL388" s="1"/>
    </row>
    <row r="389" spans="1:38" hidden="1" x14ac:dyDescent="0.25">
      <c r="A389" s="24">
        <f t="shared" si="150"/>
        <v>388</v>
      </c>
      <c r="B389" s="25" t="s">
        <v>1238</v>
      </c>
      <c r="C389" s="25" t="s">
        <v>1239</v>
      </c>
      <c r="D389" s="27" t="s">
        <v>1240</v>
      </c>
      <c r="E389" s="25" t="s">
        <v>1241</v>
      </c>
      <c r="F389" s="25" t="s">
        <v>178</v>
      </c>
      <c r="G389" s="25" t="s">
        <v>1267</v>
      </c>
      <c r="H389" s="25" t="s">
        <v>1268</v>
      </c>
      <c r="I389" s="25" t="s">
        <v>1269</v>
      </c>
      <c r="J389" s="25" t="s">
        <v>38</v>
      </c>
      <c r="K389" s="25">
        <v>60</v>
      </c>
      <c r="L389" s="25"/>
      <c r="M389" s="25"/>
      <c r="N389" s="23" t="s">
        <v>55</v>
      </c>
      <c r="O389" s="23" t="s">
        <v>59</v>
      </c>
      <c r="P389" s="23" t="s">
        <v>60</v>
      </c>
      <c r="Q389" s="26">
        <v>5</v>
      </c>
      <c r="R389" s="26" t="s">
        <v>240</v>
      </c>
      <c r="S389" s="26">
        <v>10</v>
      </c>
      <c r="T389" s="26">
        <v>20</v>
      </c>
      <c r="U389" s="23" t="s">
        <v>571</v>
      </c>
      <c r="V389" s="23" t="s">
        <v>62</v>
      </c>
      <c r="W389" s="23"/>
      <c r="X389" s="23" t="e">
        <f>IF(COUNTIF(#REF!,_xlfn.TEXTJOIN(".",,C389,F389,H389)),"是","否")</f>
        <v>#REF!</v>
      </c>
      <c r="Y389" s="23" t="e">
        <f t="shared" si="151"/>
        <v>#REF!</v>
      </c>
      <c r="Z389" s="23" t="s">
        <v>55</v>
      </c>
      <c r="AA389" s="23"/>
      <c r="AB389" s="23"/>
      <c r="AC389" s="23"/>
      <c r="AD389" s="23"/>
      <c r="AE389" s="23"/>
      <c r="AF389" s="23"/>
      <c r="AG389" s="23"/>
      <c r="AH389" s="23"/>
      <c r="AI389" s="23"/>
      <c r="AJ389" s="1" t="str">
        <f t="shared" si="152"/>
        <v>SYS.ES.cluster_id.sum_thread_pool_write_rejected</v>
      </c>
      <c r="AK389" s="1" t="s">
        <v>302</v>
      </c>
      <c r="AL389" s="1"/>
    </row>
    <row r="390" spans="1:38" hidden="1" x14ac:dyDescent="0.25">
      <c r="A390" s="24">
        <f t="shared" si="150"/>
        <v>389</v>
      </c>
      <c r="B390" s="25" t="s">
        <v>1238</v>
      </c>
      <c r="C390" s="25" t="s">
        <v>1239</v>
      </c>
      <c r="D390" s="27" t="s">
        <v>1240</v>
      </c>
      <c r="E390" s="25" t="s">
        <v>1241</v>
      </c>
      <c r="F390" s="25" t="s">
        <v>178</v>
      </c>
      <c r="G390" s="25" t="s">
        <v>1270</v>
      </c>
      <c r="H390" s="25" t="s">
        <v>1271</v>
      </c>
      <c r="I390" s="25" t="s">
        <v>1272</v>
      </c>
      <c r="J390" s="25" t="s">
        <v>38</v>
      </c>
      <c r="K390" s="25">
        <v>60</v>
      </c>
      <c r="L390" s="25"/>
      <c r="M390" s="25"/>
      <c r="N390" s="23" t="s">
        <v>55</v>
      </c>
      <c r="O390" s="23" t="s">
        <v>59</v>
      </c>
      <c r="P390" s="23" t="s">
        <v>60</v>
      </c>
      <c r="Q390" s="26">
        <v>5</v>
      </c>
      <c r="R390" s="26" t="s">
        <v>240</v>
      </c>
      <c r="S390" s="26">
        <v>10</v>
      </c>
      <c r="T390" s="26">
        <v>20</v>
      </c>
      <c r="U390" s="23" t="s">
        <v>571</v>
      </c>
      <c r="V390" s="23" t="s">
        <v>62</v>
      </c>
      <c r="W390" s="23"/>
      <c r="X390" s="23" t="e">
        <f>IF(COUNTIF(#REF!,_xlfn.TEXTJOIN(".",,C390,F390,H390)),"是","否")</f>
        <v>#REF!</v>
      </c>
      <c r="Y390" s="23" t="e">
        <f t="shared" si="151"/>
        <v>#REF!</v>
      </c>
      <c r="Z390" s="23" t="s">
        <v>55</v>
      </c>
      <c r="AA390" s="23"/>
      <c r="AB390" s="23"/>
      <c r="AC390" s="23"/>
      <c r="AD390" s="23"/>
      <c r="AE390" s="23"/>
      <c r="AF390" s="23"/>
      <c r="AG390" s="23"/>
      <c r="AH390" s="23"/>
      <c r="AI390" s="23"/>
      <c r="AJ390" s="1" t="str">
        <f t="shared" si="152"/>
        <v>SYS.ES.cluster_id.sum_thread_pool_search_rejected</v>
      </c>
      <c r="AK390" s="1" t="s">
        <v>302</v>
      </c>
      <c r="AL390" s="1"/>
    </row>
    <row r="391" spans="1:38" hidden="1" x14ac:dyDescent="0.25">
      <c r="A391" s="24">
        <f t="shared" si="150"/>
        <v>390</v>
      </c>
      <c r="B391" s="25" t="s">
        <v>1238</v>
      </c>
      <c r="C391" s="25" t="s">
        <v>1239</v>
      </c>
      <c r="D391" s="27" t="s">
        <v>1240</v>
      </c>
      <c r="E391" s="25" t="s">
        <v>1241</v>
      </c>
      <c r="F391" s="25" t="s">
        <v>178</v>
      </c>
      <c r="G391" s="25" t="s">
        <v>1273</v>
      </c>
      <c r="H391" s="25" t="s">
        <v>1274</v>
      </c>
      <c r="I391" s="22" t="s">
        <v>1275</v>
      </c>
      <c r="J391" s="22" t="s">
        <v>38</v>
      </c>
      <c r="K391" s="22">
        <v>60</v>
      </c>
      <c r="L391" s="22"/>
      <c r="M391" s="22"/>
      <c r="N391" s="23" t="s">
        <v>55</v>
      </c>
      <c r="O391" s="23" t="s">
        <v>59</v>
      </c>
      <c r="P391" s="23" t="s">
        <v>60</v>
      </c>
      <c r="Q391" s="23">
        <v>3</v>
      </c>
      <c r="R391" s="23" t="s">
        <v>240</v>
      </c>
      <c r="S391" s="23"/>
      <c r="T391" s="23">
        <v>1000</v>
      </c>
      <c r="U391" s="22"/>
      <c r="V391" s="23" t="s">
        <v>459</v>
      </c>
      <c r="W391" s="23"/>
      <c r="X391" s="23" t="e">
        <f>IF(COUNTIF(#REF!,_xlfn.TEXTJOIN(".",,C391,F391,H391)),"是","否")</f>
        <v>#REF!</v>
      </c>
      <c r="Y391" s="23" t="e">
        <f t="shared" si="151"/>
        <v>#REF!</v>
      </c>
      <c r="Z391" s="23"/>
      <c r="AA391" s="23"/>
      <c r="AB391" s="23"/>
      <c r="AC391" s="23"/>
      <c r="AD391" s="23"/>
      <c r="AE391" s="23"/>
      <c r="AF391" s="23"/>
      <c r="AG391" s="23"/>
      <c r="AH391" s="23"/>
      <c r="AI391" s="23"/>
      <c r="AJ391" s="1" t="str">
        <f t="shared" si="152"/>
        <v>SYS.ES.cluster_id.max_thread_pool_search_queue</v>
      </c>
      <c r="AK391" s="1"/>
      <c r="AL391" s="1"/>
    </row>
    <row r="392" spans="1:38" hidden="1" x14ac:dyDescent="0.25">
      <c r="A392" s="24">
        <f t="shared" si="150"/>
        <v>391</v>
      </c>
      <c r="B392" s="25" t="s">
        <v>1238</v>
      </c>
      <c r="C392" s="25" t="s">
        <v>1239</v>
      </c>
      <c r="D392" s="27" t="s">
        <v>1240</v>
      </c>
      <c r="E392" s="25" t="s">
        <v>1241</v>
      </c>
      <c r="F392" s="25" t="s">
        <v>178</v>
      </c>
      <c r="G392" s="25" t="s">
        <v>1276</v>
      </c>
      <c r="H392" s="25" t="s">
        <v>1277</v>
      </c>
      <c r="I392" s="22" t="s">
        <v>1278</v>
      </c>
      <c r="J392" s="22" t="s">
        <v>38</v>
      </c>
      <c r="K392" s="22">
        <v>60</v>
      </c>
      <c r="L392" s="22"/>
      <c r="M392" s="22"/>
      <c r="N392" s="23" t="s">
        <v>55</v>
      </c>
      <c r="O392" s="23" t="s">
        <v>59</v>
      </c>
      <c r="P392" s="23" t="s">
        <v>60</v>
      </c>
      <c r="Q392" s="23">
        <v>3</v>
      </c>
      <c r="R392" s="23" t="s">
        <v>61</v>
      </c>
      <c r="S392" s="23">
        <v>150</v>
      </c>
      <c r="T392" s="23"/>
      <c r="U392" s="22"/>
      <c r="V392" s="23" t="s">
        <v>62</v>
      </c>
      <c r="W392" s="23"/>
      <c r="X392" s="23" t="e">
        <f>IF(COUNTIF(#REF!,_xlfn.TEXTJOIN(".",,C392,F392,H392)),"是","否")</f>
        <v>#REF!</v>
      </c>
      <c r="Y392" s="23" t="e">
        <f t="shared" si="151"/>
        <v>#REF!</v>
      </c>
      <c r="Z392" s="23"/>
      <c r="AA392" s="23"/>
      <c r="AB392" s="23"/>
      <c r="AC392" s="23"/>
      <c r="AD392" s="23"/>
      <c r="AE392" s="23"/>
      <c r="AF392" s="23"/>
      <c r="AG392" s="23"/>
      <c r="AH392" s="23"/>
      <c r="AI392" s="23"/>
      <c r="AJ392" s="1" t="str">
        <f t="shared" si="152"/>
        <v>SYS.ES.cluster_id.avg_thread_pool_write_queue</v>
      </c>
      <c r="AK392" s="1"/>
      <c r="AL392" s="1"/>
    </row>
    <row r="393" spans="1:38" hidden="1" x14ac:dyDescent="0.25">
      <c r="A393" s="24">
        <f t="shared" si="150"/>
        <v>392</v>
      </c>
      <c r="B393" s="25" t="s">
        <v>1238</v>
      </c>
      <c r="C393" s="25" t="s">
        <v>1239</v>
      </c>
      <c r="D393" s="27" t="s">
        <v>1240</v>
      </c>
      <c r="E393" s="25" t="s">
        <v>1241</v>
      </c>
      <c r="F393" s="25" t="s">
        <v>178</v>
      </c>
      <c r="G393" s="25" t="s">
        <v>1279</v>
      </c>
      <c r="H393" s="25" t="s">
        <v>1280</v>
      </c>
      <c r="I393" s="22" t="s">
        <v>1281</v>
      </c>
      <c r="J393" s="22" t="s">
        <v>38</v>
      </c>
      <c r="K393" s="22">
        <v>60</v>
      </c>
      <c r="L393" s="22"/>
      <c r="M393" s="22"/>
      <c r="N393" s="23" t="s">
        <v>55</v>
      </c>
      <c r="O393" s="23" t="s">
        <v>59</v>
      </c>
      <c r="P393" s="23" t="s">
        <v>60</v>
      </c>
      <c r="Q393" s="23">
        <v>3</v>
      </c>
      <c r="R393" s="23" t="s">
        <v>61</v>
      </c>
      <c r="S393" s="23">
        <v>500</v>
      </c>
      <c r="T393" s="23"/>
      <c r="U393" s="22"/>
      <c r="V393" s="23" t="s">
        <v>62</v>
      </c>
      <c r="W393" s="23"/>
      <c r="X393" s="23" t="e">
        <f>IF(COUNTIF(#REF!,_xlfn.TEXTJOIN(".",,C393,F393,H393)),"是","否")</f>
        <v>#REF!</v>
      </c>
      <c r="Y393" s="23" t="e">
        <f t="shared" si="151"/>
        <v>#REF!</v>
      </c>
      <c r="Z393" s="23"/>
      <c r="AA393" s="23"/>
      <c r="AB393" s="23"/>
      <c r="AC393" s="23"/>
      <c r="AD393" s="23"/>
      <c r="AE393" s="23"/>
      <c r="AF393" s="23"/>
      <c r="AG393" s="23"/>
      <c r="AH393" s="23"/>
      <c r="AI393" s="23"/>
      <c r="AJ393" s="1" t="str">
        <f t="shared" si="152"/>
        <v>SYS.ES.cluster_id.avg_thread_pool_search_queue</v>
      </c>
      <c r="AK393" s="1"/>
      <c r="AL393" s="1"/>
    </row>
    <row r="394" spans="1:38" hidden="1" x14ac:dyDescent="0.25">
      <c r="A394" s="24">
        <f t="shared" si="150"/>
        <v>393</v>
      </c>
      <c r="B394" s="25" t="s">
        <v>1238</v>
      </c>
      <c r="C394" s="25" t="s">
        <v>1239</v>
      </c>
      <c r="D394" s="27" t="s">
        <v>1240</v>
      </c>
      <c r="E394" s="25" t="s">
        <v>1241</v>
      </c>
      <c r="F394" s="25" t="s">
        <v>178</v>
      </c>
      <c r="G394" s="25" t="s">
        <v>1282</v>
      </c>
      <c r="H394" s="25" t="s">
        <v>1283</v>
      </c>
      <c r="I394" s="22" t="s">
        <v>1284</v>
      </c>
      <c r="J394" s="22" t="s">
        <v>38</v>
      </c>
      <c r="K394" s="22">
        <v>60</v>
      </c>
      <c r="L394" s="22"/>
      <c r="M394" s="22"/>
      <c r="N394" s="23" t="s">
        <v>55</v>
      </c>
      <c r="O394" s="23" t="s">
        <v>59</v>
      </c>
      <c r="P394" s="23" t="s">
        <v>60</v>
      </c>
      <c r="Q394" s="23">
        <v>3</v>
      </c>
      <c r="R394" s="23" t="s">
        <v>240</v>
      </c>
      <c r="S394" s="23">
        <v>200</v>
      </c>
      <c r="T394" s="23"/>
      <c r="U394" s="22"/>
      <c r="V394" s="23" t="s">
        <v>62</v>
      </c>
      <c r="W394" s="23"/>
      <c r="X394" s="23" t="e">
        <f>IF(COUNTIF(#REF!,_xlfn.TEXTJOIN(".",,C394,F394,H394)),"是","否")</f>
        <v>#REF!</v>
      </c>
      <c r="Y394" s="23" t="e">
        <f t="shared" si="151"/>
        <v>#REF!</v>
      </c>
      <c r="Z394" s="23"/>
      <c r="AA394" s="23"/>
      <c r="AB394" s="23"/>
      <c r="AC394" s="23"/>
      <c r="AD394" s="23"/>
      <c r="AE394" s="23"/>
      <c r="AF394" s="23"/>
      <c r="AG394" s="23"/>
      <c r="AH394" s="23"/>
      <c r="AI394" s="23"/>
      <c r="AJ394" s="1" t="str">
        <f t="shared" si="152"/>
        <v>SYS.ES.cluster_id.avg_thread_pool_write_rejected</v>
      </c>
      <c r="AK394" s="1"/>
      <c r="AL394" s="1"/>
    </row>
    <row r="395" spans="1:38" hidden="1" x14ac:dyDescent="0.25">
      <c r="A395" s="24">
        <f t="shared" ref="A395" si="153">ROW()-1</f>
        <v>394</v>
      </c>
      <c r="B395" s="25" t="s">
        <v>1238</v>
      </c>
      <c r="C395" s="25" t="s">
        <v>1239</v>
      </c>
      <c r="D395" s="27" t="s">
        <v>1240</v>
      </c>
      <c r="E395" s="25" t="s">
        <v>1241</v>
      </c>
      <c r="F395" s="25" t="s">
        <v>178</v>
      </c>
      <c r="G395" s="25" t="s">
        <v>1285</v>
      </c>
      <c r="H395" s="25" t="s">
        <v>1286</v>
      </c>
      <c r="I395" s="25" t="s">
        <v>1287</v>
      </c>
      <c r="J395" s="25" t="s">
        <v>38</v>
      </c>
      <c r="K395" s="25">
        <v>60</v>
      </c>
      <c r="L395" s="25" t="s">
        <v>45</v>
      </c>
      <c r="M395" s="25" t="s">
        <v>44</v>
      </c>
      <c r="N395" s="23" t="s">
        <v>55</v>
      </c>
      <c r="O395" s="23" t="s">
        <v>59</v>
      </c>
      <c r="P395" s="23" t="s">
        <v>60</v>
      </c>
      <c r="Q395" s="26">
        <v>1</v>
      </c>
      <c r="R395" s="26" t="s">
        <v>240</v>
      </c>
      <c r="S395" s="26"/>
      <c r="T395" s="34">
        <v>60000</v>
      </c>
      <c r="U395" s="23" t="s">
        <v>44</v>
      </c>
      <c r="V395" s="23" t="s">
        <v>62</v>
      </c>
      <c r="W395" s="23"/>
      <c r="X395" s="23" t="e">
        <f>IF(COUNTIF(#REF!,_xlfn.TEXTJOIN(".",,C395,F395,H395)),"是","否")</f>
        <v>#REF!</v>
      </c>
      <c r="Y395" s="23" t="e">
        <f t="shared" ref="Y395" si="154">IF(AND(O395="底线指标",X395="是"),"是","否")</f>
        <v>#REF!</v>
      </c>
      <c r="Z395" s="23" t="s">
        <v>55</v>
      </c>
      <c r="AA395" s="23"/>
      <c r="AB395" s="23"/>
      <c r="AC395" s="23"/>
      <c r="AD395" s="23"/>
      <c r="AE395" s="23"/>
      <c r="AF395" s="23"/>
      <c r="AG395" s="23"/>
      <c r="AH395" s="23"/>
      <c r="AI395" s="23"/>
      <c r="AJ395" s="1" t="str">
        <f t="shared" ref="AJ395" si="155">_xlfn.TEXTJOIN(".",TRUE,C395,F395,H395)</f>
        <v>SYS.ES.cluster_id.task_max_running_time</v>
      </c>
      <c r="AK395" s="1" t="s">
        <v>302</v>
      </c>
      <c r="AL395" s="1"/>
    </row>
    <row r="396" spans="1:38" hidden="1" x14ac:dyDescent="0.25">
      <c r="A396" s="24">
        <f t="shared" ref="A396:A404" si="156">ROW()-1</f>
        <v>395</v>
      </c>
      <c r="B396" s="25" t="s">
        <v>1288</v>
      </c>
      <c r="C396" s="25" t="s">
        <v>1289</v>
      </c>
      <c r="D396" s="25" t="s">
        <v>1290</v>
      </c>
      <c r="E396" s="25" t="s">
        <v>1291</v>
      </c>
      <c r="F396" s="25" t="s">
        <v>1292</v>
      </c>
      <c r="G396" s="25" t="s">
        <v>1294</v>
      </c>
      <c r="H396" s="25" t="s">
        <v>1295</v>
      </c>
      <c r="I396" s="25" t="s">
        <v>1296</v>
      </c>
      <c r="J396" s="25" t="s">
        <v>38</v>
      </c>
      <c r="K396" s="25">
        <v>60</v>
      </c>
      <c r="L396" s="25" t="s">
        <v>45</v>
      </c>
      <c r="M396" s="25"/>
      <c r="N396" s="23" t="s">
        <v>55</v>
      </c>
      <c r="O396" s="23" t="s">
        <v>59</v>
      </c>
      <c r="P396" s="23" t="s">
        <v>60</v>
      </c>
      <c r="Q396" s="23">
        <v>3</v>
      </c>
      <c r="R396" s="23" t="s">
        <v>1155</v>
      </c>
      <c r="S396" s="23"/>
      <c r="T396" s="23">
        <v>1</v>
      </c>
      <c r="U396" s="22"/>
      <c r="V396" s="23" t="s">
        <v>151</v>
      </c>
      <c r="W396" s="23"/>
      <c r="X396" s="23" t="e">
        <f>IF(COUNTIF(#REF!,_xlfn.TEXTJOIN(".",,C396,F396,H396)),"是","否")</f>
        <v>#REF!</v>
      </c>
      <c r="Y396" s="23" t="e">
        <f t="shared" ref="Y396:Y404" si="157">IF(AND(O396="底线指标",X396="是"),"是","否")</f>
        <v>#REF!</v>
      </c>
      <c r="Z396" s="23"/>
      <c r="AA396" s="23" t="s">
        <v>55</v>
      </c>
      <c r="AB396" s="23" t="s">
        <v>60</v>
      </c>
      <c r="AC396" s="23">
        <v>3</v>
      </c>
      <c r="AD396" s="23" t="s">
        <v>1155</v>
      </c>
      <c r="AE396" s="23"/>
      <c r="AF396" s="23">
        <v>1</v>
      </c>
      <c r="AG396" s="23"/>
      <c r="AH396" s="23"/>
      <c r="AI396" s="23" t="s">
        <v>151</v>
      </c>
      <c r="AJ396" s="1" t="str">
        <f t="shared" ref="AJ396:AJ404" si="158">_xlfn.TEXTJOIN(".",TRUE,C396,F396,H396)</f>
        <v>SYS.VPN.evpn_connection_id.connection_status</v>
      </c>
      <c r="AK396" s="1"/>
      <c r="AL396" s="1"/>
    </row>
    <row r="397" spans="1:38" hidden="1" x14ac:dyDescent="0.25">
      <c r="A397" s="24">
        <f t="shared" si="156"/>
        <v>396</v>
      </c>
      <c r="B397" s="25" t="s">
        <v>1288</v>
      </c>
      <c r="C397" s="25" t="s">
        <v>1289</v>
      </c>
      <c r="D397" s="25" t="s">
        <v>1290</v>
      </c>
      <c r="E397" s="25" t="s">
        <v>1297</v>
      </c>
      <c r="F397" s="25" t="s">
        <v>1298</v>
      </c>
      <c r="G397" s="25" t="s">
        <v>56</v>
      </c>
      <c r="H397" s="25" t="s">
        <v>1299</v>
      </c>
      <c r="I397" s="25" t="s">
        <v>56</v>
      </c>
      <c r="J397" s="25" t="s">
        <v>38</v>
      </c>
      <c r="K397" s="25">
        <v>60</v>
      </c>
      <c r="L397" s="25" t="s">
        <v>39</v>
      </c>
      <c r="M397" s="25" t="s">
        <v>1293</v>
      </c>
      <c r="N397" s="23" t="s">
        <v>55</v>
      </c>
      <c r="O397" s="23" t="s">
        <v>59</v>
      </c>
      <c r="P397" s="23" t="s">
        <v>60</v>
      </c>
      <c r="Q397" s="23">
        <v>3</v>
      </c>
      <c r="R397" s="23" t="s">
        <v>61</v>
      </c>
      <c r="S397" s="23">
        <v>80</v>
      </c>
      <c r="T397" s="23"/>
      <c r="U397" s="23" t="s">
        <v>58</v>
      </c>
      <c r="V397" s="23" t="s">
        <v>62</v>
      </c>
      <c r="W397" s="23"/>
      <c r="X397" s="23" t="e">
        <f>IF(COUNTIF(#REF!,_xlfn.TEXTJOIN(".",,C397,F397,H397)),"是","否")</f>
        <v>#REF!</v>
      </c>
      <c r="Y397" s="23" t="e">
        <f t="shared" si="157"/>
        <v>#REF!</v>
      </c>
      <c r="Z397" s="23"/>
      <c r="AA397" s="23" t="s">
        <v>55</v>
      </c>
      <c r="AB397" s="23" t="s">
        <v>60</v>
      </c>
      <c r="AC397" s="23">
        <v>3</v>
      </c>
      <c r="AD397" s="23" t="s">
        <v>61</v>
      </c>
      <c r="AE397" s="23">
        <v>80</v>
      </c>
      <c r="AF397" s="23"/>
      <c r="AG397" s="23" t="s">
        <v>1300</v>
      </c>
      <c r="AH397" s="23" t="s">
        <v>58</v>
      </c>
      <c r="AI397" s="23" t="s">
        <v>62</v>
      </c>
      <c r="AJ397" s="1" t="str">
        <f t="shared" si="158"/>
        <v>SYS.VPN.evpn_gateway_id.gateway_recv_rate_usage</v>
      </c>
      <c r="AK397" s="1"/>
      <c r="AL397" s="1"/>
    </row>
    <row r="398" spans="1:38" hidden="1" x14ac:dyDescent="0.25">
      <c r="A398" s="24">
        <f t="shared" si="156"/>
        <v>397</v>
      </c>
      <c r="B398" s="25" t="s">
        <v>1288</v>
      </c>
      <c r="C398" s="25" t="s">
        <v>1289</v>
      </c>
      <c r="D398" s="25" t="s">
        <v>1290</v>
      </c>
      <c r="E398" s="25" t="s">
        <v>1297</v>
      </c>
      <c r="F398" s="25" t="s">
        <v>1298</v>
      </c>
      <c r="G398" s="25" t="s">
        <v>65</v>
      </c>
      <c r="H398" s="25" t="s">
        <v>1301</v>
      </c>
      <c r="I398" s="25" t="s">
        <v>65</v>
      </c>
      <c r="J398" s="25" t="s">
        <v>38</v>
      </c>
      <c r="K398" s="25">
        <v>60</v>
      </c>
      <c r="L398" s="25" t="s">
        <v>39</v>
      </c>
      <c r="M398" s="25" t="s">
        <v>1293</v>
      </c>
      <c r="N398" s="23" t="s">
        <v>55</v>
      </c>
      <c r="O398" s="23" t="s">
        <v>59</v>
      </c>
      <c r="P398" s="23" t="s">
        <v>60</v>
      </c>
      <c r="Q398" s="23">
        <v>3</v>
      </c>
      <c r="R398" s="23" t="s">
        <v>61</v>
      </c>
      <c r="S398" s="23">
        <v>80</v>
      </c>
      <c r="T398" s="23"/>
      <c r="U398" s="23" t="s">
        <v>58</v>
      </c>
      <c r="V398" s="23" t="s">
        <v>62</v>
      </c>
      <c r="W398" s="23"/>
      <c r="X398" s="23" t="e">
        <f>IF(COUNTIF(#REF!,_xlfn.TEXTJOIN(".",,C398,F398,H398)),"是","否")</f>
        <v>#REF!</v>
      </c>
      <c r="Y398" s="23" t="e">
        <f t="shared" si="157"/>
        <v>#REF!</v>
      </c>
      <c r="Z398" s="23"/>
      <c r="AA398" s="23" t="s">
        <v>55</v>
      </c>
      <c r="AB398" s="23" t="s">
        <v>60</v>
      </c>
      <c r="AC398" s="23">
        <v>3</v>
      </c>
      <c r="AD398" s="23" t="s">
        <v>61</v>
      </c>
      <c r="AE398" s="23">
        <v>80</v>
      </c>
      <c r="AF398" s="23"/>
      <c r="AG398" s="23" t="s">
        <v>1300</v>
      </c>
      <c r="AH398" s="23" t="s">
        <v>58</v>
      </c>
      <c r="AI398" s="23" t="s">
        <v>62</v>
      </c>
      <c r="AJ398" s="1" t="str">
        <f t="shared" si="158"/>
        <v>SYS.VPN.evpn_gateway_id.gateway_send_rate_usage</v>
      </c>
      <c r="AK398" s="1"/>
      <c r="AL398" s="1"/>
    </row>
    <row r="399" spans="1:38" hidden="1" x14ac:dyDescent="0.25">
      <c r="A399" s="24">
        <f t="shared" si="156"/>
        <v>398</v>
      </c>
      <c r="B399" s="25" t="s">
        <v>1288</v>
      </c>
      <c r="C399" s="25" t="s">
        <v>1289</v>
      </c>
      <c r="D399" s="25" t="s">
        <v>1290</v>
      </c>
      <c r="E399" s="25" t="s">
        <v>1302</v>
      </c>
      <c r="F399" s="25" t="s">
        <v>1303</v>
      </c>
      <c r="G399" s="25" t="s">
        <v>1294</v>
      </c>
      <c r="H399" s="25" t="s">
        <v>1295</v>
      </c>
      <c r="I399" s="25" t="s">
        <v>1296</v>
      </c>
      <c r="J399" s="25" t="s">
        <v>38</v>
      </c>
      <c r="K399" s="25">
        <v>60</v>
      </c>
      <c r="L399" s="25"/>
      <c r="M399" s="25"/>
      <c r="N399" s="23" t="s">
        <v>55</v>
      </c>
      <c r="O399" s="23" t="s">
        <v>59</v>
      </c>
      <c r="P399" s="23" t="s">
        <v>60</v>
      </c>
      <c r="Q399" s="23">
        <v>3</v>
      </c>
      <c r="R399" s="23" t="s">
        <v>1155</v>
      </c>
      <c r="S399" s="23"/>
      <c r="T399" s="23">
        <v>1</v>
      </c>
      <c r="U399" s="22"/>
      <c r="V399" s="23" t="s">
        <v>151</v>
      </c>
      <c r="W399" s="23"/>
      <c r="X399" s="23" t="e">
        <f>IF(COUNTIF(#REF!,_xlfn.TEXTJOIN(".",,C399,F399,H399)),"是","否")</f>
        <v>#REF!</v>
      </c>
      <c r="Y399" s="23" t="e">
        <f t="shared" si="157"/>
        <v>#REF!</v>
      </c>
      <c r="Z399" s="23"/>
      <c r="AA399" s="23" t="s">
        <v>55</v>
      </c>
      <c r="AB399" s="23" t="s">
        <v>60</v>
      </c>
      <c r="AC399" s="23">
        <v>3</v>
      </c>
      <c r="AD399" s="23" t="s">
        <v>136</v>
      </c>
      <c r="AE399" s="23"/>
      <c r="AF399" s="23">
        <v>0</v>
      </c>
      <c r="AG399" s="23"/>
      <c r="AH399" s="23"/>
      <c r="AI399" s="23" t="s">
        <v>151</v>
      </c>
      <c r="AJ399" s="1" t="str">
        <f t="shared" si="158"/>
        <v>SYS.VPN.connection_id.connection_status</v>
      </c>
      <c r="AK399" s="1"/>
      <c r="AL399" s="1"/>
    </row>
    <row r="400" spans="1:38" hidden="1" x14ac:dyDescent="0.25">
      <c r="A400" s="24">
        <f t="shared" si="156"/>
        <v>399</v>
      </c>
      <c r="B400" s="25" t="s">
        <v>1304</v>
      </c>
      <c r="C400" s="25" t="s">
        <v>1305</v>
      </c>
      <c r="D400" s="25" t="s">
        <v>1306</v>
      </c>
      <c r="E400" s="25" t="s">
        <v>1307</v>
      </c>
      <c r="F400" s="25" t="s">
        <v>1308</v>
      </c>
      <c r="G400" s="25" t="s">
        <v>72</v>
      </c>
      <c r="H400" s="25" t="s">
        <v>1309</v>
      </c>
      <c r="I400" s="25" t="s">
        <v>1310</v>
      </c>
      <c r="J400" s="25" t="s">
        <v>38</v>
      </c>
      <c r="K400" s="25">
        <v>60</v>
      </c>
      <c r="L400" s="25"/>
      <c r="M400" s="25" t="s">
        <v>58</v>
      </c>
      <c r="N400" s="23" t="s">
        <v>55</v>
      </c>
      <c r="O400" s="23" t="s">
        <v>59</v>
      </c>
      <c r="P400" s="23" t="s">
        <v>60</v>
      </c>
      <c r="Q400" s="26">
        <v>5</v>
      </c>
      <c r="R400" s="26" t="s">
        <v>61</v>
      </c>
      <c r="S400" s="26">
        <v>90</v>
      </c>
      <c r="T400" s="23"/>
      <c r="U400" s="23" t="s">
        <v>58</v>
      </c>
      <c r="V400" s="23" t="s">
        <v>62</v>
      </c>
      <c r="W400" s="23"/>
      <c r="X400" s="23" t="e">
        <f>IF(COUNTIF(#REF!,_xlfn.TEXTJOIN(".",,C400,F400,H400)),"是","否")</f>
        <v>#REF!</v>
      </c>
      <c r="Y400" s="23" t="e">
        <f t="shared" si="157"/>
        <v>#REF!</v>
      </c>
      <c r="Z400" s="23"/>
      <c r="AA400" s="23" t="s">
        <v>55</v>
      </c>
      <c r="AB400" s="23" t="s">
        <v>60</v>
      </c>
      <c r="AC400" s="23">
        <v>5</v>
      </c>
      <c r="AD400" s="23" t="s">
        <v>61</v>
      </c>
      <c r="AE400" s="23">
        <v>90</v>
      </c>
      <c r="AF400" s="23"/>
      <c r="AG400" s="23"/>
      <c r="AH400" s="23" t="s">
        <v>58</v>
      </c>
      <c r="AI400" s="23" t="s">
        <v>62</v>
      </c>
      <c r="AJ400" s="1" t="str">
        <f t="shared" si="158"/>
        <v>SYS.CPH.instance_id,cph_id.cph_cpu_usage</v>
      </c>
      <c r="AK400" s="1"/>
      <c r="AL400" s="1"/>
    </row>
    <row r="401" spans="1:38" hidden="1" x14ac:dyDescent="0.25">
      <c r="A401" s="24">
        <f t="shared" si="156"/>
        <v>400</v>
      </c>
      <c r="B401" s="25" t="s">
        <v>1304</v>
      </c>
      <c r="C401" s="25" t="s">
        <v>1305</v>
      </c>
      <c r="D401" s="25" t="s">
        <v>1306</v>
      </c>
      <c r="E401" s="25" t="s">
        <v>1307</v>
      </c>
      <c r="F401" s="25" t="s">
        <v>1308</v>
      </c>
      <c r="G401" s="25" t="s">
        <v>76</v>
      </c>
      <c r="H401" s="25" t="s">
        <v>1311</v>
      </c>
      <c r="I401" s="22" t="s">
        <v>1312</v>
      </c>
      <c r="J401" s="22" t="s">
        <v>38</v>
      </c>
      <c r="K401" s="22">
        <v>60</v>
      </c>
      <c r="L401" s="22"/>
      <c r="M401" s="22" t="s">
        <v>58</v>
      </c>
      <c r="N401" s="23" t="s">
        <v>55</v>
      </c>
      <c r="O401" s="23" t="s">
        <v>59</v>
      </c>
      <c r="P401" s="23" t="s">
        <v>60</v>
      </c>
      <c r="Q401" s="23">
        <v>5</v>
      </c>
      <c r="R401" s="23" t="s">
        <v>61</v>
      </c>
      <c r="S401" s="23">
        <v>90</v>
      </c>
      <c r="T401" s="23"/>
      <c r="U401" s="22" t="s">
        <v>58</v>
      </c>
      <c r="V401" s="23" t="s">
        <v>62</v>
      </c>
      <c r="W401" s="23"/>
      <c r="X401" s="23" t="e">
        <f>IF(COUNTIF(#REF!,_xlfn.TEXTJOIN(".",,C401,F401,H401)),"是","否")</f>
        <v>#REF!</v>
      </c>
      <c r="Y401" s="23" t="e">
        <f t="shared" si="157"/>
        <v>#REF!</v>
      </c>
      <c r="Z401" s="23"/>
      <c r="AA401" s="23" t="s">
        <v>55</v>
      </c>
      <c r="AB401" s="23" t="s">
        <v>60</v>
      </c>
      <c r="AC401" s="23">
        <v>5</v>
      </c>
      <c r="AD401" s="23" t="s">
        <v>61</v>
      </c>
      <c r="AE401" s="23">
        <v>90</v>
      </c>
      <c r="AF401" s="23"/>
      <c r="AG401" s="23"/>
      <c r="AH401" s="23" t="s">
        <v>58</v>
      </c>
      <c r="AI401" s="23" t="s">
        <v>62</v>
      </c>
      <c r="AJ401" s="1" t="str">
        <f t="shared" si="158"/>
        <v>SYS.CPH.instance_id,cph_id.cph_mem_usedPercent</v>
      </c>
      <c r="AK401" s="1"/>
      <c r="AL401" s="1"/>
    </row>
    <row r="402" spans="1:38" hidden="1" x14ac:dyDescent="0.25">
      <c r="A402" s="24">
        <f t="shared" si="156"/>
        <v>401</v>
      </c>
      <c r="B402" s="25" t="s">
        <v>1304</v>
      </c>
      <c r="C402" s="25" t="s">
        <v>1305</v>
      </c>
      <c r="D402" s="25" t="s">
        <v>1306</v>
      </c>
      <c r="E402" s="25" t="s">
        <v>1307</v>
      </c>
      <c r="F402" s="25" t="s">
        <v>1308</v>
      </c>
      <c r="G402" s="25" t="s">
        <v>1313</v>
      </c>
      <c r="H402" s="25" t="s">
        <v>1314</v>
      </c>
      <c r="I402" s="25" t="s">
        <v>1315</v>
      </c>
      <c r="J402" s="25" t="s">
        <v>38</v>
      </c>
      <c r="K402" s="25">
        <v>60</v>
      </c>
      <c r="L402" s="25"/>
      <c r="M402" s="25" t="s">
        <v>58</v>
      </c>
      <c r="N402" s="23" t="s">
        <v>55</v>
      </c>
      <c r="O402" s="23" t="s">
        <v>59</v>
      </c>
      <c r="P402" s="23" t="s">
        <v>60</v>
      </c>
      <c r="Q402" s="26">
        <v>5</v>
      </c>
      <c r="R402" s="26" t="s">
        <v>61</v>
      </c>
      <c r="S402" s="26">
        <v>90</v>
      </c>
      <c r="T402" s="23"/>
      <c r="U402" s="23" t="s">
        <v>58</v>
      </c>
      <c r="V402" s="23" t="s">
        <v>62</v>
      </c>
      <c r="W402" s="23"/>
      <c r="X402" s="23" t="e">
        <f>IF(COUNTIF(#REF!,_xlfn.TEXTJOIN(".",,C402,F402,H402)),"是","否")</f>
        <v>#REF!</v>
      </c>
      <c r="Y402" s="23" t="e">
        <f t="shared" si="157"/>
        <v>#REF!</v>
      </c>
      <c r="Z402" s="23"/>
      <c r="AA402" s="23" t="s">
        <v>55</v>
      </c>
      <c r="AB402" s="23" t="s">
        <v>60</v>
      </c>
      <c r="AC402" s="23">
        <v>5</v>
      </c>
      <c r="AD402" s="23" t="s">
        <v>61</v>
      </c>
      <c r="AE402" s="23">
        <v>90</v>
      </c>
      <c r="AF402" s="23"/>
      <c r="AG402" s="23"/>
      <c r="AH402" s="23" t="s">
        <v>58</v>
      </c>
      <c r="AI402" s="23" t="s">
        <v>62</v>
      </c>
      <c r="AJ402" s="1" t="str">
        <f t="shared" si="158"/>
        <v>SYS.CPH.instance_id,cph_id.cph_disk_usedPercent</v>
      </c>
      <c r="AK402" s="1"/>
      <c r="AL402" s="1"/>
    </row>
    <row r="403" spans="1:38" hidden="1" x14ac:dyDescent="0.25">
      <c r="A403" s="24">
        <f t="shared" si="156"/>
        <v>402</v>
      </c>
      <c r="B403" s="25" t="s">
        <v>1304</v>
      </c>
      <c r="C403" s="25" t="s">
        <v>1305</v>
      </c>
      <c r="D403" s="25" t="s">
        <v>1306</v>
      </c>
      <c r="E403" s="25" t="s">
        <v>1307</v>
      </c>
      <c r="F403" s="25" t="s">
        <v>1308</v>
      </c>
      <c r="G403" s="25" t="s">
        <v>1316</v>
      </c>
      <c r="H403" s="25" t="s">
        <v>1317</v>
      </c>
      <c r="I403" s="25" t="s">
        <v>1316</v>
      </c>
      <c r="J403" s="25" t="s">
        <v>38</v>
      </c>
      <c r="K403" s="25">
        <v>60</v>
      </c>
      <c r="L403" s="25"/>
      <c r="M403" s="25" t="s">
        <v>58</v>
      </c>
      <c r="N403" s="23" t="s">
        <v>55</v>
      </c>
      <c r="O403" s="23" t="s">
        <v>59</v>
      </c>
      <c r="P403" s="23" t="s">
        <v>60</v>
      </c>
      <c r="Q403" s="26">
        <v>5</v>
      </c>
      <c r="R403" s="26" t="s">
        <v>61</v>
      </c>
      <c r="S403" s="26">
        <v>95</v>
      </c>
      <c r="T403" s="23"/>
      <c r="U403" s="23" t="s">
        <v>58</v>
      </c>
      <c r="V403" s="23" t="s">
        <v>62</v>
      </c>
      <c r="W403" s="23"/>
      <c r="X403" s="23" t="e">
        <f>IF(COUNTIF(#REF!,_xlfn.TEXTJOIN(".",,C403,F403,H403)),"是","否")</f>
        <v>#REF!</v>
      </c>
      <c r="Y403" s="23" t="e">
        <f t="shared" si="157"/>
        <v>#REF!</v>
      </c>
      <c r="Z403" s="23"/>
      <c r="AA403" s="23" t="s">
        <v>55</v>
      </c>
      <c r="AB403" s="23" t="s">
        <v>60</v>
      </c>
      <c r="AC403" s="23">
        <v>5</v>
      </c>
      <c r="AD403" s="23" t="s">
        <v>61</v>
      </c>
      <c r="AE403" s="23">
        <v>95</v>
      </c>
      <c r="AF403" s="23"/>
      <c r="AG403" s="23"/>
      <c r="AH403" s="23" t="s">
        <v>58</v>
      </c>
      <c r="AI403" s="23" t="s">
        <v>62</v>
      </c>
      <c r="AJ403" s="1" t="str">
        <f t="shared" si="158"/>
        <v>SYS.CPH.instance_id,cph_id.cph_disk_percent</v>
      </c>
      <c r="AK403" s="1"/>
      <c r="AL403" s="1"/>
    </row>
    <row r="404" spans="1:38" hidden="1" x14ac:dyDescent="0.25">
      <c r="A404" s="24">
        <f t="shared" si="156"/>
        <v>403</v>
      </c>
      <c r="B404" s="25" t="s">
        <v>1304</v>
      </c>
      <c r="C404" s="25" t="s">
        <v>1305</v>
      </c>
      <c r="D404" s="25" t="s">
        <v>1306</v>
      </c>
      <c r="E404" s="25" t="s">
        <v>1307</v>
      </c>
      <c r="F404" s="25" t="s">
        <v>1308</v>
      </c>
      <c r="G404" s="25" t="s">
        <v>1318</v>
      </c>
      <c r="H404" s="25" t="s">
        <v>1319</v>
      </c>
      <c r="I404" s="25" t="s">
        <v>1318</v>
      </c>
      <c r="J404" s="25" t="s">
        <v>38</v>
      </c>
      <c r="K404" s="25">
        <v>60</v>
      </c>
      <c r="L404" s="25"/>
      <c r="M404" s="25" t="s">
        <v>58</v>
      </c>
      <c r="N404" s="23" t="s">
        <v>55</v>
      </c>
      <c r="O404" s="23" t="s">
        <v>59</v>
      </c>
      <c r="P404" s="23" t="s">
        <v>60</v>
      </c>
      <c r="Q404" s="26">
        <v>5</v>
      </c>
      <c r="R404" s="26" t="s">
        <v>61</v>
      </c>
      <c r="S404" s="26">
        <v>95</v>
      </c>
      <c r="T404" s="23"/>
      <c r="U404" s="23" t="s">
        <v>58</v>
      </c>
      <c r="V404" s="23" t="s">
        <v>62</v>
      </c>
      <c r="W404" s="23"/>
      <c r="X404" s="23" t="e">
        <f>IF(COUNTIF(#REF!,_xlfn.TEXTJOIN(".",,C404,F404,H404)),"是","否")</f>
        <v>#REF!</v>
      </c>
      <c r="Y404" s="23" t="e">
        <f t="shared" si="157"/>
        <v>#REF!</v>
      </c>
      <c r="Z404" s="23"/>
      <c r="AA404" s="23"/>
      <c r="AB404" s="23"/>
      <c r="AC404" s="23"/>
      <c r="AD404" s="23"/>
      <c r="AE404" s="23"/>
      <c r="AF404" s="23"/>
      <c r="AG404" s="23"/>
      <c r="AH404" s="23"/>
      <c r="AI404" s="23"/>
      <c r="AJ404" s="1" t="str">
        <f t="shared" si="158"/>
        <v>SYS.CPH.instance_id,cph_id.cph_sysdisk_percent</v>
      </c>
      <c r="AK404" s="1"/>
      <c r="AL404" s="1"/>
    </row>
    <row r="405" spans="1:38" hidden="1" x14ac:dyDescent="0.25">
      <c r="A405" s="24">
        <f t="shared" ref="A405:A417" si="159">ROW()-1</f>
        <v>404</v>
      </c>
      <c r="B405" s="25" t="s">
        <v>1304</v>
      </c>
      <c r="C405" s="25" t="s">
        <v>1305</v>
      </c>
      <c r="D405" s="25" t="s">
        <v>1306</v>
      </c>
      <c r="E405" s="25" t="s">
        <v>1320</v>
      </c>
      <c r="F405" s="25" t="s">
        <v>1321</v>
      </c>
      <c r="G405" s="25" t="s">
        <v>443</v>
      </c>
      <c r="H405" s="25" t="s">
        <v>1322</v>
      </c>
      <c r="I405" s="22" t="s">
        <v>1323</v>
      </c>
      <c r="J405" s="22" t="s">
        <v>38</v>
      </c>
      <c r="K405" s="22">
        <v>60</v>
      </c>
      <c r="L405" s="22"/>
      <c r="M405" s="22" t="s">
        <v>1324</v>
      </c>
      <c r="N405" s="23" t="s">
        <v>55</v>
      </c>
      <c r="O405" s="23" t="s">
        <v>59</v>
      </c>
      <c r="P405" s="23" t="s">
        <v>60</v>
      </c>
      <c r="Q405" s="23">
        <v>3</v>
      </c>
      <c r="R405" s="23" t="s">
        <v>61</v>
      </c>
      <c r="S405" s="23">
        <v>50</v>
      </c>
      <c r="T405" s="23"/>
      <c r="U405" s="3" t="s">
        <v>1325</v>
      </c>
      <c r="V405" s="23" t="s">
        <v>62</v>
      </c>
      <c r="W405" s="23"/>
      <c r="X405" s="23" t="e">
        <f>IF(COUNTIF(#REF!,_xlfn.TEXTJOIN(".",,C405,F405,H405)),"是","否")</f>
        <v>#REF!</v>
      </c>
      <c r="Y405" s="23" t="e">
        <f t="shared" ref="Y405:Y417" si="160">IF(AND(O405="底线指标",X405="是"),"是","否")</f>
        <v>#REF!</v>
      </c>
      <c r="Z405" s="23"/>
      <c r="AA405" s="23" t="s">
        <v>55</v>
      </c>
      <c r="AB405" s="23" t="s">
        <v>60</v>
      </c>
      <c r="AC405" s="23">
        <v>3</v>
      </c>
      <c r="AD405" s="23" t="s">
        <v>61</v>
      </c>
      <c r="AE405" s="23">
        <v>50</v>
      </c>
      <c r="AF405" s="23"/>
      <c r="AG405" s="23"/>
      <c r="AH405" s="23" t="s">
        <v>44</v>
      </c>
      <c r="AI405" s="23" t="s">
        <v>62</v>
      </c>
      <c r="AJ405" s="1" t="str">
        <f t="shared" ref="AJ405:AJ417" si="161">_xlfn.TEXTJOIN(".",TRUE,C405,F405,H405)</f>
        <v>SYS.CPH.instance_id,disk_name.disk_usage_read_await</v>
      </c>
      <c r="AK405" s="1"/>
      <c r="AL405" s="1"/>
    </row>
    <row r="406" spans="1:38" hidden="1" x14ac:dyDescent="0.25">
      <c r="A406" s="24">
        <f t="shared" si="159"/>
        <v>405</v>
      </c>
      <c r="B406" s="25" t="s">
        <v>1304</v>
      </c>
      <c r="C406" s="25" t="s">
        <v>1305</v>
      </c>
      <c r="D406" s="25" t="s">
        <v>1306</v>
      </c>
      <c r="E406" s="25" t="s">
        <v>1320</v>
      </c>
      <c r="F406" s="25" t="s">
        <v>1321</v>
      </c>
      <c r="G406" s="25" t="s">
        <v>439</v>
      </c>
      <c r="H406" s="25" t="s">
        <v>1326</v>
      </c>
      <c r="I406" s="22" t="s">
        <v>1327</v>
      </c>
      <c r="J406" s="22" t="s">
        <v>38</v>
      </c>
      <c r="K406" s="22">
        <v>60</v>
      </c>
      <c r="L406" s="22"/>
      <c r="M406" s="22" t="s">
        <v>1324</v>
      </c>
      <c r="N406" s="23" t="s">
        <v>55</v>
      </c>
      <c r="O406" s="23" t="s">
        <v>59</v>
      </c>
      <c r="P406" s="23" t="s">
        <v>60</v>
      </c>
      <c r="Q406" s="23">
        <v>3</v>
      </c>
      <c r="R406" s="23" t="s">
        <v>61</v>
      </c>
      <c r="S406" s="23">
        <v>50</v>
      </c>
      <c r="T406" s="23"/>
      <c r="U406" s="3" t="s">
        <v>1325</v>
      </c>
      <c r="V406" s="23" t="s">
        <v>62</v>
      </c>
      <c r="W406" s="23"/>
      <c r="X406" s="23" t="e">
        <f>IF(COUNTIF(#REF!,_xlfn.TEXTJOIN(".",,C406,F406,H406)),"是","否")</f>
        <v>#REF!</v>
      </c>
      <c r="Y406" s="23" t="e">
        <f t="shared" si="160"/>
        <v>#REF!</v>
      </c>
      <c r="Z406" s="23"/>
      <c r="AA406" s="23" t="s">
        <v>55</v>
      </c>
      <c r="AB406" s="23" t="s">
        <v>60</v>
      </c>
      <c r="AC406" s="23">
        <v>3</v>
      </c>
      <c r="AD406" s="23" t="s">
        <v>61</v>
      </c>
      <c r="AE406" s="23">
        <v>50</v>
      </c>
      <c r="AF406" s="23"/>
      <c r="AG406" s="23"/>
      <c r="AH406" s="23" t="s">
        <v>44</v>
      </c>
      <c r="AI406" s="23" t="s">
        <v>62</v>
      </c>
      <c r="AJ406" s="1" t="str">
        <f t="shared" si="161"/>
        <v>SYS.CPH.instance_id,disk_name.disk_usage_write_await</v>
      </c>
      <c r="AK406" s="1"/>
      <c r="AL406" s="1"/>
    </row>
    <row r="407" spans="1:38" hidden="1" x14ac:dyDescent="0.25">
      <c r="A407" s="24">
        <f t="shared" si="159"/>
        <v>406</v>
      </c>
      <c r="B407" s="25" t="s">
        <v>1304</v>
      </c>
      <c r="C407" s="25" t="s">
        <v>1305</v>
      </c>
      <c r="D407" s="25" t="s">
        <v>1306</v>
      </c>
      <c r="E407" s="25" t="s">
        <v>1328</v>
      </c>
      <c r="F407" s="25" t="s">
        <v>1329</v>
      </c>
      <c r="G407" s="25" t="s">
        <v>1330</v>
      </c>
      <c r="H407" s="25" t="s">
        <v>1331</v>
      </c>
      <c r="I407" s="25" t="s">
        <v>1332</v>
      </c>
      <c r="J407" s="25" t="s">
        <v>38</v>
      </c>
      <c r="K407" s="25">
        <v>60</v>
      </c>
      <c r="L407" s="25"/>
      <c r="M407" s="25"/>
      <c r="N407" s="23" t="s">
        <v>55</v>
      </c>
      <c r="O407" s="23" t="s">
        <v>59</v>
      </c>
      <c r="P407" s="26" t="s">
        <v>60</v>
      </c>
      <c r="Q407" s="26">
        <v>3</v>
      </c>
      <c r="R407" s="26" t="s">
        <v>136</v>
      </c>
      <c r="S407" s="26">
        <v>0</v>
      </c>
      <c r="T407" s="26" t="s">
        <v>1110</v>
      </c>
      <c r="U407" s="23" t="s">
        <v>571</v>
      </c>
      <c r="V407" s="23" t="s">
        <v>62</v>
      </c>
      <c r="W407" s="23"/>
      <c r="X407" s="23" t="e">
        <f>IF(COUNTIF(#REF!,_xlfn.TEXTJOIN(".",,C407,F407,H407)),"是","否")</f>
        <v>#REF!</v>
      </c>
      <c r="Y407" s="23" t="e">
        <f t="shared" si="160"/>
        <v>#REF!</v>
      </c>
      <c r="Z407" s="23"/>
      <c r="AA407" s="23" t="s">
        <v>55</v>
      </c>
      <c r="AB407" s="23" t="s">
        <v>60</v>
      </c>
      <c r="AC407" s="23">
        <v>3</v>
      </c>
      <c r="AD407" s="23" t="s">
        <v>136</v>
      </c>
      <c r="AE407" s="23">
        <v>0</v>
      </c>
      <c r="AF407" s="23"/>
      <c r="AG407" s="23"/>
      <c r="AH407" s="23"/>
      <c r="AI407" s="23" t="s">
        <v>62</v>
      </c>
      <c r="AJ407" s="1" t="str">
        <f t="shared" si="161"/>
        <v>SYS.CPH.instance_id,gpu_index.gpu_usage_status</v>
      </c>
      <c r="AK407" s="1"/>
      <c r="AL407" s="1"/>
    </row>
    <row r="408" spans="1:38" hidden="1" x14ac:dyDescent="0.25">
      <c r="A408" s="24">
        <f t="shared" si="159"/>
        <v>407</v>
      </c>
      <c r="B408" s="25" t="s">
        <v>1304</v>
      </c>
      <c r="C408" s="25" t="s">
        <v>1305</v>
      </c>
      <c r="D408" s="25" t="s">
        <v>1306</v>
      </c>
      <c r="E408" s="25" t="s">
        <v>1304</v>
      </c>
      <c r="F408" s="25" t="s">
        <v>71</v>
      </c>
      <c r="G408" s="25" t="s">
        <v>72</v>
      </c>
      <c r="H408" s="25" t="s">
        <v>85</v>
      </c>
      <c r="I408" s="22" t="s">
        <v>1041</v>
      </c>
      <c r="J408" s="22" t="s">
        <v>38</v>
      </c>
      <c r="K408" s="22">
        <v>60</v>
      </c>
      <c r="L408" s="22"/>
      <c r="M408" s="22" t="s">
        <v>58</v>
      </c>
      <c r="N408" s="23" t="s">
        <v>55</v>
      </c>
      <c r="O408" s="23" t="s">
        <v>59</v>
      </c>
      <c r="P408" s="23" t="s">
        <v>60</v>
      </c>
      <c r="Q408" s="23">
        <v>3</v>
      </c>
      <c r="R408" s="23" t="s">
        <v>61</v>
      </c>
      <c r="S408" s="23">
        <v>80</v>
      </c>
      <c r="T408" s="23"/>
      <c r="U408" s="22" t="s">
        <v>58</v>
      </c>
      <c r="V408" s="23" t="s">
        <v>62</v>
      </c>
      <c r="W408" s="23"/>
      <c r="X408" s="23" t="e">
        <f>IF(COUNTIF(#REF!,_xlfn.TEXTJOIN(".",,C408,F408,H408)),"是","否")</f>
        <v>#REF!</v>
      </c>
      <c r="Y408" s="23" t="e">
        <f t="shared" si="160"/>
        <v>#REF!</v>
      </c>
      <c r="Z408" s="23"/>
      <c r="AA408" s="23" t="s">
        <v>55</v>
      </c>
      <c r="AB408" s="23" t="s">
        <v>60</v>
      </c>
      <c r="AC408" s="23">
        <v>3</v>
      </c>
      <c r="AD408" s="23" t="s">
        <v>61</v>
      </c>
      <c r="AE408" s="23">
        <v>80</v>
      </c>
      <c r="AF408" s="23"/>
      <c r="AG408" s="23"/>
      <c r="AH408" s="23" t="s">
        <v>58</v>
      </c>
      <c r="AI408" s="23" t="s">
        <v>62</v>
      </c>
      <c r="AJ408" s="1" t="str">
        <f t="shared" si="161"/>
        <v>SYS.CPH.instance_id.cpu_usage</v>
      </c>
      <c r="AK408" s="1"/>
      <c r="AL408" s="1"/>
    </row>
    <row r="409" spans="1:38" hidden="1" x14ac:dyDescent="0.25">
      <c r="A409" s="24">
        <f t="shared" si="159"/>
        <v>408</v>
      </c>
      <c r="B409" s="25" t="s">
        <v>1304</v>
      </c>
      <c r="C409" s="25" t="s">
        <v>1305</v>
      </c>
      <c r="D409" s="25" t="s">
        <v>1306</v>
      </c>
      <c r="E409" s="25" t="s">
        <v>1304</v>
      </c>
      <c r="F409" s="25" t="s">
        <v>71</v>
      </c>
      <c r="G409" s="25" t="s">
        <v>76</v>
      </c>
      <c r="H409" s="25" t="s">
        <v>87</v>
      </c>
      <c r="I409" s="25" t="s">
        <v>110</v>
      </c>
      <c r="J409" s="25" t="s">
        <v>38</v>
      </c>
      <c r="K409" s="25">
        <v>60</v>
      </c>
      <c r="L409" s="25"/>
      <c r="M409" s="25" t="s">
        <v>58</v>
      </c>
      <c r="N409" s="23" t="s">
        <v>55</v>
      </c>
      <c r="O409" s="23" t="s">
        <v>59</v>
      </c>
      <c r="P409" s="23" t="s">
        <v>60</v>
      </c>
      <c r="Q409" s="26">
        <v>3</v>
      </c>
      <c r="R409" s="26" t="s">
        <v>61</v>
      </c>
      <c r="S409" s="26"/>
      <c r="T409" s="26">
        <v>80</v>
      </c>
      <c r="U409" s="34" t="s">
        <v>58</v>
      </c>
      <c r="V409" s="23" t="s">
        <v>62</v>
      </c>
      <c r="W409" s="23"/>
      <c r="X409" s="23" t="e">
        <f>IF(COUNTIF(#REF!,_xlfn.TEXTJOIN(".",,C409,F409,H409)),"是","否")</f>
        <v>#REF!</v>
      </c>
      <c r="Y409" s="23" t="e">
        <f t="shared" si="160"/>
        <v>#REF!</v>
      </c>
      <c r="Z409" s="23"/>
      <c r="AA409" s="23" t="s">
        <v>55</v>
      </c>
      <c r="AB409" s="23" t="s">
        <v>60</v>
      </c>
      <c r="AC409" s="23">
        <v>3</v>
      </c>
      <c r="AD409" s="23" t="s">
        <v>61</v>
      </c>
      <c r="AE409" s="23"/>
      <c r="AF409" s="23">
        <v>80</v>
      </c>
      <c r="AG409" s="23"/>
      <c r="AH409" s="23" t="s">
        <v>58</v>
      </c>
      <c r="AI409" s="23" t="s">
        <v>62</v>
      </c>
      <c r="AJ409" s="1" t="str">
        <f t="shared" si="161"/>
        <v>SYS.CPH.instance_id.mem_usedPercent</v>
      </c>
      <c r="AK409" s="1"/>
      <c r="AL409" s="1"/>
    </row>
    <row r="410" spans="1:38" hidden="1" x14ac:dyDescent="0.25">
      <c r="A410" s="24">
        <f t="shared" si="159"/>
        <v>409</v>
      </c>
      <c r="B410" s="25" t="s">
        <v>1304</v>
      </c>
      <c r="C410" s="25" t="s">
        <v>1305</v>
      </c>
      <c r="D410" s="25" t="s">
        <v>1306</v>
      </c>
      <c r="E410" s="25" t="s">
        <v>1304</v>
      </c>
      <c r="F410" s="25" t="s">
        <v>71</v>
      </c>
      <c r="G410" s="25" t="s">
        <v>1333</v>
      </c>
      <c r="H410" s="25" t="s">
        <v>1334</v>
      </c>
      <c r="I410" s="22" t="s">
        <v>1335</v>
      </c>
      <c r="J410" s="22" t="s">
        <v>38</v>
      </c>
      <c r="K410" s="22">
        <v>60</v>
      </c>
      <c r="L410" s="22"/>
      <c r="M410" s="22" t="s">
        <v>58</v>
      </c>
      <c r="N410" s="23" t="s">
        <v>55</v>
      </c>
      <c r="O410" s="23" t="s">
        <v>59</v>
      </c>
      <c r="P410" s="23" t="s">
        <v>60</v>
      </c>
      <c r="Q410" s="23">
        <v>5</v>
      </c>
      <c r="R410" s="23" t="s">
        <v>61</v>
      </c>
      <c r="S410" s="23">
        <v>95</v>
      </c>
      <c r="T410" s="23"/>
      <c r="U410" s="22" t="s">
        <v>58</v>
      </c>
      <c r="V410" s="23" t="s">
        <v>62</v>
      </c>
      <c r="W410" s="23"/>
      <c r="X410" s="23" t="e">
        <f>IF(COUNTIF(#REF!,_xlfn.TEXTJOIN(".",,C410,F410,H410)),"是","否")</f>
        <v>#REF!</v>
      </c>
      <c r="Y410" s="23" t="e">
        <f t="shared" si="160"/>
        <v>#REF!</v>
      </c>
      <c r="Z410" s="23"/>
      <c r="AA410" s="23" t="s">
        <v>55</v>
      </c>
      <c r="AB410" s="23" t="s">
        <v>60</v>
      </c>
      <c r="AC410" s="23">
        <v>5</v>
      </c>
      <c r="AD410" s="23" t="s">
        <v>61</v>
      </c>
      <c r="AE410" s="23">
        <v>95</v>
      </c>
      <c r="AF410" s="23"/>
      <c r="AG410" s="23"/>
      <c r="AH410" s="23" t="s">
        <v>58</v>
      </c>
      <c r="AI410" s="23" t="s">
        <v>62</v>
      </c>
      <c r="AJ410" s="1" t="str">
        <f t="shared" si="161"/>
        <v>SYS.CPH.instance_id.cph_sharebase_usedPercent</v>
      </c>
      <c r="AK410" s="1"/>
      <c r="AL410" s="1"/>
    </row>
    <row r="411" spans="1:38" hidden="1" x14ac:dyDescent="0.25">
      <c r="A411" s="24">
        <f t="shared" si="159"/>
        <v>410</v>
      </c>
      <c r="B411" s="25" t="s">
        <v>1304</v>
      </c>
      <c r="C411" s="25" t="s">
        <v>1305</v>
      </c>
      <c r="D411" s="25" t="s">
        <v>1306</v>
      </c>
      <c r="E411" s="25" t="s">
        <v>1304</v>
      </c>
      <c r="F411" s="25" t="s">
        <v>71</v>
      </c>
      <c r="G411" s="25" t="s">
        <v>711</v>
      </c>
      <c r="H411" s="25" t="s">
        <v>66</v>
      </c>
      <c r="I411" s="22" t="s">
        <v>1336</v>
      </c>
      <c r="J411" s="22" t="s">
        <v>38</v>
      </c>
      <c r="K411" s="22">
        <v>60</v>
      </c>
      <c r="L411" s="22" t="s">
        <v>39</v>
      </c>
      <c r="M411" s="22" t="s">
        <v>58</v>
      </c>
      <c r="N411" s="23" t="s">
        <v>55</v>
      </c>
      <c r="O411" s="23" t="s">
        <v>59</v>
      </c>
      <c r="P411" s="23" t="s">
        <v>60</v>
      </c>
      <c r="Q411" s="23">
        <v>3</v>
      </c>
      <c r="R411" s="23" t="s">
        <v>61</v>
      </c>
      <c r="S411" s="23">
        <v>95</v>
      </c>
      <c r="T411" s="23"/>
      <c r="U411" s="22" t="s">
        <v>58</v>
      </c>
      <c r="V411" s="23" t="s">
        <v>62</v>
      </c>
      <c r="W411" s="23"/>
      <c r="X411" s="23" t="e">
        <f>IF(COUNTIF(#REF!,_xlfn.TEXTJOIN(".",,C411,F411,H411)),"是","否")</f>
        <v>#REF!</v>
      </c>
      <c r="Y411" s="23" t="e">
        <f t="shared" si="160"/>
        <v>#REF!</v>
      </c>
      <c r="Z411" s="23"/>
      <c r="AA411" s="23" t="s">
        <v>55</v>
      </c>
      <c r="AB411" s="23" t="s">
        <v>60</v>
      </c>
      <c r="AC411" s="23">
        <v>3</v>
      </c>
      <c r="AD411" s="23" t="s">
        <v>61</v>
      </c>
      <c r="AE411" s="23">
        <v>95</v>
      </c>
      <c r="AF411" s="23"/>
      <c r="AG411" s="23"/>
      <c r="AH411" s="23" t="s">
        <v>58</v>
      </c>
      <c r="AI411" s="23" t="s">
        <v>62</v>
      </c>
      <c r="AJ411" s="1" t="str">
        <f t="shared" si="161"/>
        <v>SYS.CPH.instance_id.upstream_bandwidth_usage</v>
      </c>
      <c r="AK411" s="1"/>
      <c r="AL411" s="1"/>
    </row>
    <row r="412" spans="1:38" x14ac:dyDescent="0.25">
      <c r="A412" s="24">
        <f t="shared" si="159"/>
        <v>411</v>
      </c>
      <c r="B412" s="25" t="s">
        <v>1337</v>
      </c>
      <c r="C412" s="25" t="s">
        <v>1338</v>
      </c>
      <c r="D412" s="25" t="s">
        <v>1339</v>
      </c>
      <c r="E412" s="25" t="s">
        <v>1340</v>
      </c>
      <c r="F412" s="25" t="s">
        <v>1341</v>
      </c>
      <c r="G412" s="25" t="s">
        <v>1342</v>
      </c>
      <c r="H412" s="25" t="s">
        <v>1343</v>
      </c>
      <c r="I412" s="22" t="s">
        <v>1344</v>
      </c>
      <c r="J412" s="22" t="s">
        <v>38</v>
      </c>
      <c r="K412" s="22">
        <v>60</v>
      </c>
      <c r="L412" s="22"/>
      <c r="M412" s="22"/>
      <c r="N412" s="23" t="s">
        <v>55</v>
      </c>
      <c r="O412" s="23" t="s">
        <v>59</v>
      </c>
      <c r="P412" s="23" t="s">
        <v>60</v>
      </c>
      <c r="Q412" s="23">
        <v>2</v>
      </c>
      <c r="R412" s="23" t="s">
        <v>61</v>
      </c>
      <c r="S412" s="23">
        <v>400000</v>
      </c>
      <c r="T412" s="23"/>
      <c r="U412" s="22"/>
      <c r="V412" s="23" t="s">
        <v>62</v>
      </c>
      <c r="W412" s="23"/>
      <c r="X412" s="23" t="e">
        <f>IF(COUNTIF(#REF!,_xlfn.TEXTJOIN(".",,C412,F412,H412)),"是","否")</f>
        <v>#REF!</v>
      </c>
      <c r="Y412" s="23" t="e">
        <f t="shared" si="160"/>
        <v>#REF!</v>
      </c>
      <c r="Z412" s="23"/>
      <c r="AA412" s="23"/>
      <c r="AB412" s="23"/>
      <c r="AC412" s="23"/>
      <c r="AD412" s="23"/>
      <c r="AE412" s="23"/>
      <c r="AF412" s="23"/>
      <c r="AG412" s="23"/>
      <c r="AH412" s="23"/>
      <c r="AI412" s="23"/>
      <c r="AJ412" s="1" t="str">
        <f t="shared" si="161"/>
        <v>SYS.DCS.dcs_instance_id.instantaneous_ops</v>
      </c>
      <c r="AK412" s="1"/>
      <c r="AL412" s="1"/>
    </row>
    <row r="413" spans="1:38" x14ac:dyDescent="0.25">
      <c r="A413" s="24">
        <f t="shared" si="159"/>
        <v>412</v>
      </c>
      <c r="B413" s="25" t="s">
        <v>1337</v>
      </c>
      <c r="C413" s="25" t="s">
        <v>1338</v>
      </c>
      <c r="D413" s="25" t="s">
        <v>1339</v>
      </c>
      <c r="E413" s="25" t="s">
        <v>1340</v>
      </c>
      <c r="F413" s="25" t="s">
        <v>1341</v>
      </c>
      <c r="G413" s="25" t="s">
        <v>204</v>
      </c>
      <c r="H413" s="25" t="s">
        <v>685</v>
      </c>
      <c r="I413" s="25" t="s">
        <v>489</v>
      </c>
      <c r="J413" s="25" t="s">
        <v>38</v>
      </c>
      <c r="K413" s="25">
        <v>60</v>
      </c>
      <c r="L413" s="25"/>
      <c r="M413" s="25" t="s">
        <v>58</v>
      </c>
      <c r="N413" s="23" t="s">
        <v>55</v>
      </c>
      <c r="O413" s="23" t="s">
        <v>59</v>
      </c>
      <c r="P413" s="23" t="s">
        <v>60</v>
      </c>
      <c r="Q413" s="23">
        <v>2</v>
      </c>
      <c r="R413" s="23" t="s">
        <v>61</v>
      </c>
      <c r="S413" s="23">
        <v>70</v>
      </c>
      <c r="T413" s="23">
        <v>80</v>
      </c>
      <c r="U413" s="23" t="s">
        <v>58</v>
      </c>
      <c r="V413" s="23" t="s">
        <v>62</v>
      </c>
      <c r="W413" s="23"/>
      <c r="X413" s="23" t="e">
        <f>IF(COUNTIF(#REF!,_xlfn.TEXTJOIN(".",,C413,F413,H413)),"是","否")</f>
        <v>#REF!</v>
      </c>
      <c r="Y413" s="23" t="e">
        <f t="shared" si="160"/>
        <v>#REF!</v>
      </c>
      <c r="Z413" s="23" t="s">
        <v>55</v>
      </c>
      <c r="AA413" s="27" t="s">
        <v>55</v>
      </c>
      <c r="AB413" s="27" t="s">
        <v>60</v>
      </c>
      <c r="AC413" s="27">
        <v>2</v>
      </c>
      <c r="AD413" s="27" t="s">
        <v>61</v>
      </c>
      <c r="AE413" s="27">
        <v>70</v>
      </c>
      <c r="AF413" s="27">
        <v>80</v>
      </c>
      <c r="AG413" s="27"/>
      <c r="AH413" s="27" t="s">
        <v>58</v>
      </c>
      <c r="AI413" s="27" t="s">
        <v>62</v>
      </c>
      <c r="AJ413" s="1" t="str">
        <f t="shared" si="161"/>
        <v>SYS.DCS.dcs_instance_id.memory_usage</v>
      </c>
      <c r="AK413" s="1" t="s">
        <v>152</v>
      </c>
      <c r="AL413" s="1"/>
    </row>
    <row r="414" spans="1:38" x14ac:dyDescent="0.25">
      <c r="A414" s="24">
        <f t="shared" si="159"/>
        <v>413</v>
      </c>
      <c r="B414" s="25" t="s">
        <v>1337</v>
      </c>
      <c r="C414" s="25" t="s">
        <v>1338</v>
      </c>
      <c r="D414" s="25" t="s">
        <v>1339</v>
      </c>
      <c r="E414" s="25" t="s">
        <v>1340</v>
      </c>
      <c r="F414" s="25" t="s">
        <v>1341</v>
      </c>
      <c r="G414" s="25" t="s">
        <v>1345</v>
      </c>
      <c r="H414" s="25" t="s">
        <v>896</v>
      </c>
      <c r="I414" s="22" t="s">
        <v>1346</v>
      </c>
      <c r="J414" s="22" t="s">
        <v>38</v>
      </c>
      <c r="K414" s="22">
        <v>60</v>
      </c>
      <c r="L414" s="22"/>
      <c r="M414" s="22"/>
      <c r="N414" s="23" t="s">
        <v>55</v>
      </c>
      <c r="O414" s="23" t="s">
        <v>59</v>
      </c>
      <c r="P414" s="23" t="s">
        <v>60</v>
      </c>
      <c r="Q414" s="23">
        <v>2</v>
      </c>
      <c r="R414" s="23" t="s">
        <v>61</v>
      </c>
      <c r="S414" s="23">
        <v>8000</v>
      </c>
      <c r="T414" s="23"/>
      <c r="U414" s="22"/>
      <c r="V414" s="23" t="s">
        <v>62</v>
      </c>
      <c r="W414" s="23"/>
      <c r="X414" s="23" t="e">
        <f>IF(COUNTIF(#REF!,_xlfn.TEXTJOIN(".",,C414,F414,H414)),"是","否")</f>
        <v>#REF!</v>
      </c>
      <c r="Y414" s="23" t="e">
        <f t="shared" si="160"/>
        <v>#REF!</v>
      </c>
      <c r="Z414" s="23"/>
      <c r="AA414" s="23"/>
      <c r="AB414" s="23"/>
      <c r="AC414" s="23"/>
      <c r="AD414" s="23"/>
      <c r="AE414" s="23"/>
      <c r="AF414" s="23"/>
      <c r="AG414" s="23"/>
      <c r="AH414" s="23"/>
      <c r="AI414" s="23"/>
      <c r="AJ414" s="1" t="str">
        <f t="shared" si="161"/>
        <v>SYS.DCS.dcs_instance_id.connected_clients</v>
      </c>
      <c r="AK414" s="1"/>
      <c r="AL414" s="1"/>
    </row>
    <row r="415" spans="1:38" x14ac:dyDescent="0.25">
      <c r="A415" s="24">
        <f t="shared" si="159"/>
        <v>414</v>
      </c>
      <c r="B415" s="25" t="s">
        <v>1337</v>
      </c>
      <c r="C415" s="25" t="s">
        <v>1338</v>
      </c>
      <c r="D415" s="25" t="s">
        <v>1339</v>
      </c>
      <c r="E415" s="25" t="s">
        <v>1340</v>
      </c>
      <c r="F415" s="25" t="s">
        <v>1341</v>
      </c>
      <c r="G415" s="25" t="s">
        <v>201</v>
      </c>
      <c r="H415" s="25" t="s">
        <v>85</v>
      </c>
      <c r="I415" s="25" t="s">
        <v>487</v>
      </c>
      <c r="J415" s="25" t="s">
        <v>38</v>
      </c>
      <c r="K415" s="25">
        <v>60</v>
      </c>
      <c r="L415" s="25"/>
      <c r="M415" s="25" t="s">
        <v>58</v>
      </c>
      <c r="N415" s="23" t="s">
        <v>55</v>
      </c>
      <c r="O415" s="23" t="s">
        <v>59</v>
      </c>
      <c r="P415" s="23" t="s">
        <v>60</v>
      </c>
      <c r="Q415" s="23">
        <v>2</v>
      </c>
      <c r="R415" s="23" t="s">
        <v>61</v>
      </c>
      <c r="S415" s="23">
        <v>70</v>
      </c>
      <c r="T415" s="23">
        <v>80</v>
      </c>
      <c r="U415" s="23" t="s">
        <v>58</v>
      </c>
      <c r="V415" s="23" t="s">
        <v>62</v>
      </c>
      <c r="W415" s="23"/>
      <c r="X415" s="23" t="e">
        <f>IF(COUNTIF(#REF!,_xlfn.TEXTJOIN(".",,C415,F415,H415)),"是","否")</f>
        <v>#REF!</v>
      </c>
      <c r="Y415" s="23" t="e">
        <f t="shared" si="160"/>
        <v>#REF!</v>
      </c>
      <c r="Z415" s="23" t="s">
        <v>55</v>
      </c>
      <c r="AA415" s="27" t="s">
        <v>55</v>
      </c>
      <c r="AB415" s="27" t="s">
        <v>60</v>
      </c>
      <c r="AC415" s="27">
        <v>2</v>
      </c>
      <c r="AD415" s="27"/>
      <c r="AE415" s="27" t="s">
        <v>1347</v>
      </c>
      <c r="AF415" s="27" t="s">
        <v>1348</v>
      </c>
      <c r="AG415" s="27"/>
      <c r="AH415" s="27"/>
      <c r="AI415" s="27" t="s">
        <v>62</v>
      </c>
      <c r="AJ415" s="1" t="str">
        <f t="shared" si="161"/>
        <v>SYS.DCS.dcs_instance_id.cpu_usage</v>
      </c>
      <c r="AK415" s="1" t="s">
        <v>152</v>
      </c>
      <c r="AL415" s="1"/>
    </row>
    <row r="416" spans="1:38" x14ac:dyDescent="0.25">
      <c r="A416" s="24">
        <f t="shared" si="159"/>
        <v>415</v>
      </c>
      <c r="B416" s="25" t="s">
        <v>1337</v>
      </c>
      <c r="C416" s="25" t="s">
        <v>1338</v>
      </c>
      <c r="D416" s="25" t="s">
        <v>1339</v>
      </c>
      <c r="E416" s="25" t="s">
        <v>1340</v>
      </c>
      <c r="F416" s="25" t="s">
        <v>1341</v>
      </c>
      <c r="G416" s="25" t="s">
        <v>1351</v>
      </c>
      <c r="H416" s="25" t="s">
        <v>1352</v>
      </c>
      <c r="I416" s="22" t="s">
        <v>1353</v>
      </c>
      <c r="J416" s="22" t="s">
        <v>38</v>
      </c>
      <c r="K416" s="22">
        <v>60</v>
      </c>
      <c r="L416" s="22"/>
      <c r="M416" s="22" t="s">
        <v>44</v>
      </c>
      <c r="N416" s="23" t="s">
        <v>55</v>
      </c>
      <c r="O416" s="23" t="s">
        <v>59</v>
      </c>
      <c r="P416" s="23" t="s">
        <v>60</v>
      </c>
      <c r="Q416" s="23">
        <v>1</v>
      </c>
      <c r="R416" s="23" t="s">
        <v>61</v>
      </c>
      <c r="S416" s="23">
        <v>1000</v>
      </c>
      <c r="T416" s="23">
        <v>200</v>
      </c>
      <c r="U416" s="22" t="s">
        <v>44</v>
      </c>
      <c r="V416" s="23" t="s">
        <v>276</v>
      </c>
      <c r="W416" s="23"/>
      <c r="X416" s="23" t="e">
        <f>IF(COUNTIF(#REF!,_xlfn.TEXTJOIN(".",,C416,F416,H416)),"是","否")</f>
        <v>#REF!</v>
      </c>
      <c r="Y416" s="23" t="e">
        <f t="shared" si="160"/>
        <v>#REF!</v>
      </c>
      <c r="Z416" s="23"/>
      <c r="AA416" s="23"/>
      <c r="AB416" s="23"/>
      <c r="AC416" s="23"/>
      <c r="AD416" s="23"/>
      <c r="AE416" s="23"/>
      <c r="AF416" s="23"/>
      <c r="AG416" s="23"/>
      <c r="AH416" s="23"/>
      <c r="AI416" s="23"/>
      <c r="AJ416" s="1" t="str">
        <f t="shared" si="161"/>
        <v>SYS.DCS.dcs_instance_id.command_max_delay</v>
      </c>
      <c r="AK416" s="1"/>
      <c r="AL416" s="1"/>
    </row>
    <row r="417" spans="1:38" x14ac:dyDescent="0.25">
      <c r="A417" s="24">
        <f t="shared" si="159"/>
        <v>416</v>
      </c>
      <c r="B417" s="25" t="s">
        <v>1337</v>
      </c>
      <c r="C417" s="25" t="s">
        <v>1338</v>
      </c>
      <c r="D417" s="25" t="s">
        <v>1339</v>
      </c>
      <c r="E417" s="25" t="s">
        <v>1340</v>
      </c>
      <c r="F417" s="25" t="s">
        <v>1341</v>
      </c>
      <c r="G417" s="25" t="s">
        <v>1354</v>
      </c>
      <c r="H417" s="25" t="s">
        <v>1355</v>
      </c>
      <c r="I417" s="25" t="s">
        <v>1356</v>
      </c>
      <c r="J417" s="25" t="s">
        <v>38</v>
      </c>
      <c r="K417" s="25">
        <v>60</v>
      </c>
      <c r="L417" s="25"/>
      <c r="M417" s="25"/>
      <c r="N417" s="23" t="s">
        <v>55</v>
      </c>
      <c r="O417" s="23" t="s">
        <v>59</v>
      </c>
      <c r="P417" s="23" t="s">
        <v>60</v>
      </c>
      <c r="Q417" s="23">
        <v>1</v>
      </c>
      <c r="R417" s="34" t="s">
        <v>240</v>
      </c>
      <c r="S417" s="26">
        <v>1</v>
      </c>
      <c r="T417" s="23"/>
      <c r="U417" s="23" t="s">
        <v>571</v>
      </c>
      <c r="V417" s="23" t="s">
        <v>62</v>
      </c>
      <c r="W417" s="23"/>
      <c r="X417" s="23" t="e">
        <f>IF(COUNTIF(#REF!,_xlfn.TEXTJOIN(".",,C417,F417,H417)),"是","否")</f>
        <v>#REF!</v>
      </c>
      <c r="Y417" s="23" t="e">
        <f t="shared" si="160"/>
        <v>#REF!</v>
      </c>
      <c r="Z417" s="23"/>
      <c r="AA417" s="28" t="s">
        <v>55</v>
      </c>
      <c r="AB417" s="28" t="s">
        <v>60</v>
      </c>
      <c r="AC417" s="28">
        <v>1</v>
      </c>
      <c r="AD417" s="28" t="s">
        <v>61</v>
      </c>
      <c r="AE417" s="28">
        <v>0</v>
      </c>
      <c r="AF417" s="28"/>
      <c r="AG417" s="28"/>
      <c r="AH417" s="28"/>
      <c r="AI417" s="28" t="s">
        <v>62</v>
      </c>
      <c r="AJ417" s="1" t="str">
        <f t="shared" si="161"/>
        <v>SYS.DCS.dcs_instance_id.is_slow_log_exist</v>
      </c>
      <c r="AK417" s="1"/>
      <c r="AL417" s="1"/>
    </row>
    <row r="418" spans="1:38" x14ac:dyDescent="0.25">
      <c r="A418" s="24">
        <f t="shared" ref="A418:A436" si="162">ROW()-1</f>
        <v>417</v>
      </c>
      <c r="B418" s="25" t="s">
        <v>1337</v>
      </c>
      <c r="C418" s="25" t="s">
        <v>1338</v>
      </c>
      <c r="D418" s="25" t="s">
        <v>1339</v>
      </c>
      <c r="E418" s="25" t="s">
        <v>1340</v>
      </c>
      <c r="F418" s="25" t="s">
        <v>1341</v>
      </c>
      <c r="G418" s="25" t="s">
        <v>1358</v>
      </c>
      <c r="H418" s="25" t="s">
        <v>1359</v>
      </c>
      <c r="I418" s="25" t="s">
        <v>1360</v>
      </c>
      <c r="J418" s="25" t="s">
        <v>38</v>
      </c>
      <c r="K418" s="25">
        <v>60</v>
      </c>
      <c r="L418" s="25" t="s">
        <v>45</v>
      </c>
      <c r="M418" s="25" t="s">
        <v>43</v>
      </c>
      <c r="N418" s="23" t="s">
        <v>55</v>
      </c>
      <c r="O418" s="23" t="s">
        <v>59</v>
      </c>
      <c r="P418" s="23" t="s">
        <v>60</v>
      </c>
      <c r="Q418" s="23">
        <v>3</v>
      </c>
      <c r="R418" s="23" t="s">
        <v>240</v>
      </c>
      <c r="S418" s="23"/>
      <c r="T418" s="23">
        <v>1</v>
      </c>
      <c r="U418" s="23" t="s">
        <v>172</v>
      </c>
      <c r="V418" s="23" t="s">
        <v>62</v>
      </c>
      <c r="W418" s="23"/>
      <c r="X418" s="23" t="e">
        <f>IF(COUNTIF(#REF!,_xlfn.TEXTJOIN(".",,C418,F418,H418)),"是","否")</f>
        <v>#REF!</v>
      </c>
      <c r="Y418" s="23" t="e">
        <f t="shared" ref="Y418:Y436" si="163">IF(AND(O418="底线指标",X418="是"),"是","否")</f>
        <v>#REF!</v>
      </c>
      <c r="Z418" s="23"/>
      <c r="AA418" s="28" t="s">
        <v>55</v>
      </c>
      <c r="AB418" s="28" t="s">
        <v>60</v>
      </c>
      <c r="AC418" s="28">
        <v>1</v>
      </c>
      <c r="AD418" s="28" t="s">
        <v>61</v>
      </c>
      <c r="AE418" s="28">
        <v>30</v>
      </c>
      <c r="AF418" s="28"/>
      <c r="AG418" s="28"/>
      <c r="AH418" s="28"/>
      <c r="AI418" s="28" t="s">
        <v>62</v>
      </c>
      <c r="AJ418" s="1" t="str">
        <f t="shared" ref="AJ418:AJ436" si="164">_xlfn.TEXTJOIN(".",TRUE,C418,F418,H418)</f>
        <v>SYS.DCS.dcs_instance_id.rx_controlled</v>
      </c>
      <c r="AK418" s="1"/>
      <c r="AL418" s="1"/>
    </row>
    <row r="419" spans="1:38" x14ac:dyDescent="0.25">
      <c r="A419" s="24">
        <f t="shared" si="162"/>
        <v>418</v>
      </c>
      <c r="B419" s="25" t="s">
        <v>1337</v>
      </c>
      <c r="C419" s="25" t="s">
        <v>1338</v>
      </c>
      <c r="D419" s="25" t="s">
        <v>1339</v>
      </c>
      <c r="E419" s="25" t="s">
        <v>1340</v>
      </c>
      <c r="F419" s="25" t="s">
        <v>1341</v>
      </c>
      <c r="G419" s="25" t="s">
        <v>1361</v>
      </c>
      <c r="H419" s="25" t="s">
        <v>1362</v>
      </c>
      <c r="I419" s="25" t="s">
        <v>1363</v>
      </c>
      <c r="J419" s="25" t="s">
        <v>38</v>
      </c>
      <c r="K419" s="25">
        <v>60</v>
      </c>
      <c r="L419" s="25" t="s">
        <v>39</v>
      </c>
      <c r="M419" s="25" t="s">
        <v>58</v>
      </c>
      <c r="N419" s="23" t="s">
        <v>55</v>
      </c>
      <c r="O419" s="23" t="s">
        <v>59</v>
      </c>
      <c r="P419" s="26" t="s">
        <v>60</v>
      </c>
      <c r="Q419" s="26">
        <v>3</v>
      </c>
      <c r="R419" s="26" t="s">
        <v>61</v>
      </c>
      <c r="S419" s="26">
        <v>80</v>
      </c>
      <c r="T419" s="26">
        <v>90</v>
      </c>
      <c r="U419" s="23" t="s">
        <v>58</v>
      </c>
      <c r="V419" s="23" t="s">
        <v>62</v>
      </c>
      <c r="W419" s="23"/>
      <c r="X419" s="23" t="e">
        <f>IF(COUNTIF(#REF!,_xlfn.TEXTJOIN(".",,C419,F419,H419)),"是","否")</f>
        <v>#REF!</v>
      </c>
      <c r="Y419" s="23" t="e">
        <f t="shared" si="163"/>
        <v>#REF!</v>
      </c>
      <c r="Z419" s="23"/>
      <c r="AA419" s="28" t="s">
        <v>55</v>
      </c>
      <c r="AB419" s="28" t="s">
        <v>60</v>
      </c>
      <c r="AC419" s="28">
        <v>3</v>
      </c>
      <c r="AD419" s="28" t="s">
        <v>61</v>
      </c>
      <c r="AE419" s="28">
        <v>70</v>
      </c>
      <c r="AF419" s="28">
        <v>80</v>
      </c>
      <c r="AG419" s="28"/>
      <c r="AH419" s="28" t="s">
        <v>58</v>
      </c>
      <c r="AI419" s="28" t="s">
        <v>62</v>
      </c>
      <c r="AJ419" s="1" t="str">
        <f t="shared" si="164"/>
        <v>SYS.DCS.dcs_instance_id.bandwidth_usage</v>
      </c>
      <c r="AK419" s="1"/>
      <c r="AL419" s="1"/>
    </row>
    <row r="420" spans="1:38" x14ac:dyDescent="0.25">
      <c r="A420" s="24">
        <f t="shared" si="162"/>
        <v>419</v>
      </c>
      <c r="B420" s="25" t="s">
        <v>1337</v>
      </c>
      <c r="C420" s="25" t="s">
        <v>1338</v>
      </c>
      <c r="D420" s="25" t="s">
        <v>1339</v>
      </c>
      <c r="E420" s="25" t="s">
        <v>1340</v>
      </c>
      <c r="F420" s="25" t="s">
        <v>1341</v>
      </c>
      <c r="G420" s="25" t="s">
        <v>1364</v>
      </c>
      <c r="H420" s="25" t="s">
        <v>1365</v>
      </c>
      <c r="I420" s="25" t="s">
        <v>1366</v>
      </c>
      <c r="J420" s="25" t="s">
        <v>38</v>
      </c>
      <c r="K420" s="25">
        <v>60</v>
      </c>
      <c r="L420" s="25"/>
      <c r="M420" s="25"/>
      <c r="N420" s="23" t="s">
        <v>55</v>
      </c>
      <c r="O420" s="23" t="s">
        <v>59</v>
      </c>
      <c r="P420" s="23" t="s">
        <v>60</v>
      </c>
      <c r="Q420" s="23">
        <v>2</v>
      </c>
      <c r="R420" s="23" t="s">
        <v>136</v>
      </c>
      <c r="S420" s="23"/>
      <c r="T420" s="23">
        <v>1</v>
      </c>
      <c r="U420" s="23" t="s">
        <v>571</v>
      </c>
      <c r="V420" s="23" t="s">
        <v>62</v>
      </c>
      <c r="W420" s="23"/>
      <c r="X420" s="23" t="e">
        <f>IF(COUNTIF(#REF!,_xlfn.TEXTJOIN(".",,C420,F420,H420)),"是","否")</f>
        <v>#REF!</v>
      </c>
      <c r="Y420" s="23" t="e">
        <f t="shared" si="163"/>
        <v>#REF!</v>
      </c>
      <c r="Z420" s="23" t="s">
        <v>851</v>
      </c>
      <c r="AA420" s="23"/>
      <c r="AB420" s="23"/>
      <c r="AC420" s="23"/>
      <c r="AD420" s="23"/>
      <c r="AE420" s="23"/>
      <c r="AF420" s="23"/>
      <c r="AG420" s="23"/>
      <c r="AH420" s="23"/>
      <c r="AI420" s="23"/>
      <c r="AJ420" s="1" t="str">
        <f t="shared" si="164"/>
        <v>SYS.DCS.dcs_instance_id.node_status</v>
      </c>
      <c r="AK420" s="1" t="s">
        <v>302</v>
      </c>
      <c r="AL420" s="1"/>
    </row>
    <row r="421" spans="1:38" x14ac:dyDescent="0.25">
      <c r="A421" s="24">
        <f t="shared" si="162"/>
        <v>420</v>
      </c>
      <c r="B421" s="25" t="s">
        <v>1337</v>
      </c>
      <c r="C421" s="25" t="s">
        <v>1338</v>
      </c>
      <c r="D421" s="25" t="s">
        <v>1339</v>
      </c>
      <c r="E421" s="25" t="s">
        <v>1340</v>
      </c>
      <c r="F421" s="25" t="s">
        <v>1341</v>
      </c>
      <c r="G421" s="25" t="s">
        <v>1373</v>
      </c>
      <c r="H421" s="25" t="s">
        <v>1374</v>
      </c>
      <c r="I421" s="25" t="s">
        <v>1375</v>
      </c>
      <c r="J421" s="25" t="s">
        <v>38</v>
      </c>
      <c r="K421" s="25">
        <v>60</v>
      </c>
      <c r="L421" s="25" t="s">
        <v>45</v>
      </c>
      <c r="M421" s="25" t="s">
        <v>58</v>
      </c>
      <c r="N421" s="23" t="s">
        <v>55</v>
      </c>
      <c r="O421" s="23" t="s">
        <v>59</v>
      </c>
      <c r="P421" s="26" t="s">
        <v>60</v>
      </c>
      <c r="Q421" s="26">
        <v>2</v>
      </c>
      <c r="R421" s="26" t="s">
        <v>61</v>
      </c>
      <c r="S421" s="26">
        <v>70</v>
      </c>
      <c r="T421" s="26">
        <v>80</v>
      </c>
      <c r="U421" s="23" t="s">
        <v>58</v>
      </c>
      <c r="V421" s="23" t="s">
        <v>62</v>
      </c>
      <c r="W421" s="23"/>
      <c r="X421" s="23" t="e">
        <f>IF(COUNTIF(#REF!,_xlfn.TEXTJOIN(".",,C421,F421,H421)),"是","否")</f>
        <v>#REF!</v>
      </c>
      <c r="Y421" s="23" t="e">
        <f t="shared" si="163"/>
        <v>#REF!</v>
      </c>
      <c r="Z421" s="23" t="s">
        <v>55</v>
      </c>
      <c r="AA421" s="23"/>
      <c r="AB421" s="23"/>
      <c r="AC421" s="23"/>
      <c r="AD421" s="23"/>
      <c r="AE421" s="23"/>
      <c r="AF421" s="23"/>
      <c r="AG421" s="23"/>
      <c r="AH421" s="23"/>
      <c r="AI421" s="23"/>
      <c r="AJ421" s="1" t="str">
        <f t="shared" si="164"/>
        <v>SYS.DCS.dcs_instance_id.cpu_avg_usage</v>
      </c>
      <c r="AK421" s="1" t="s">
        <v>152</v>
      </c>
      <c r="AL421" s="1"/>
    </row>
    <row r="422" spans="1:38" x14ac:dyDescent="0.25">
      <c r="A422" s="24">
        <f t="shared" si="162"/>
        <v>421</v>
      </c>
      <c r="B422" s="25" t="s">
        <v>1337</v>
      </c>
      <c r="C422" s="25" t="s">
        <v>1338</v>
      </c>
      <c r="D422" s="25" t="s">
        <v>1339</v>
      </c>
      <c r="E422" s="25" t="s">
        <v>1376</v>
      </c>
      <c r="F422" s="25" t="s">
        <v>1377</v>
      </c>
      <c r="G422" s="25" t="s">
        <v>1364</v>
      </c>
      <c r="H422" s="25" t="s">
        <v>1365</v>
      </c>
      <c r="I422" s="25" t="s">
        <v>1366</v>
      </c>
      <c r="J422" s="25" t="s">
        <v>38</v>
      </c>
      <c r="K422" s="25">
        <v>60</v>
      </c>
      <c r="L422" s="25"/>
      <c r="M422" s="25"/>
      <c r="N422" s="23" t="s">
        <v>55</v>
      </c>
      <c r="O422" s="23" t="s">
        <v>59</v>
      </c>
      <c r="P422" s="23" t="s">
        <v>60</v>
      </c>
      <c r="Q422" s="23">
        <v>2</v>
      </c>
      <c r="R422" s="23" t="s">
        <v>136</v>
      </c>
      <c r="S422" s="23"/>
      <c r="T422" s="23">
        <v>1</v>
      </c>
      <c r="U422" s="23" t="s">
        <v>571</v>
      </c>
      <c r="V422" s="23" t="s">
        <v>62</v>
      </c>
      <c r="W422" s="23"/>
      <c r="X422" s="23" t="e">
        <f>IF(COUNTIF(#REF!,_xlfn.TEXTJOIN(".",,C422,F422,H422)),"是","否")</f>
        <v>#REF!</v>
      </c>
      <c r="Y422" s="23" t="e">
        <f t="shared" si="163"/>
        <v>#REF!</v>
      </c>
      <c r="Z422" s="23" t="s">
        <v>55</v>
      </c>
      <c r="AA422" s="27" t="s">
        <v>55</v>
      </c>
      <c r="AB422" s="27" t="s">
        <v>60</v>
      </c>
      <c r="AC422" s="27">
        <v>2</v>
      </c>
      <c r="AD422" s="27" t="s">
        <v>136</v>
      </c>
      <c r="AE422" s="27"/>
      <c r="AF422" s="27">
        <v>1</v>
      </c>
      <c r="AG422" s="27" t="s">
        <v>1378</v>
      </c>
      <c r="AH422" s="27"/>
      <c r="AI422" s="27" t="s">
        <v>62</v>
      </c>
      <c r="AJ422" s="1" t="str">
        <f t="shared" si="164"/>
        <v>SYS.DCS.dcs_instance_id,dcs_cluster_proxy2_node.node_status</v>
      </c>
      <c r="AK422" s="1" t="s">
        <v>302</v>
      </c>
      <c r="AL422" s="1"/>
    </row>
    <row r="423" spans="1:38" x14ac:dyDescent="0.25">
      <c r="A423" s="24">
        <f t="shared" si="162"/>
        <v>422</v>
      </c>
      <c r="B423" s="25" t="s">
        <v>1337</v>
      </c>
      <c r="C423" s="25" t="s">
        <v>1338</v>
      </c>
      <c r="D423" s="25" t="s">
        <v>1339</v>
      </c>
      <c r="E423" s="25" t="s">
        <v>1376</v>
      </c>
      <c r="F423" s="25" t="s">
        <v>1377</v>
      </c>
      <c r="G423" s="25" t="s">
        <v>201</v>
      </c>
      <c r="H423" s="25" t="s">
        <v>85</v>
      </c>
      <c r="I423" s="25" t="s">
        <v>487</v>
      </c>
      <c r="J423" s="25" t="s">
        <v>38</v>
      </c>
      <c r="K423" s="25">
        <v>60</v>
      </c>
      <c r="L423" s="25"/>
      <c r="M423" s="25" t="s">
        <v>58</v>
      </c>
      <c r="N423" s="23" t="s">
        <v>55</v>
      </c>
      <c r="O423" s="23" t="s">
        <v>59</v>
      </c>
      <c r="P423" s="23" t="s">
        <v>60</v>
      </c>
      <c r="Q423" s="23">
        <v>2</v>
      </c>
      <c r="R423" s="23" t="s">
        <v>61</v>
      </c>
      <c r="S423" s="23">
        <v>70</v>
      </c>
      <c r="T423" s="23">
        <v>80</v>
      </c>
      <c r="U423" s="23" t="s">
        <v>58</v>
      </c>
      <c r="V423" s="23" t="s">
        <v>62</v>
      </c>
      <c r="W423" s="23"/>
      <c r="X423" s="23" t="e">
        <f>IF(COUNTIF(#REF!,_xlfn.TEXTJOIN(".",,C423,F423,H423)),"是","否")</f>
        <v>#REF!</v>
      </c>
      <c r="Y423" s="23" t="e">
        <f t="shared" si="163"/>
        <v>#REF!</v>
      </c>
      <c r="Z423" s="23" t="s">
        <v>55</v>
      </c>
      <c r="AA423" s="27" t="s">
        <v>55</v>
      </c>
      <c r="AB423" s="27" t="s">
        <v>60</v>
      </c>
      <c r="AC423" s="27">
        <v>2</v>
      </c>
      <c r="AD423" s="27" t="s">
        <v>61</v>
      </c>
      <c r="AE423" s="27">
        <v>70</v>
      </c>
      <c r="AF423" s="27">
        <v>80</v>
      </c>
      <c r="AG423" s="27"/>
      <c r="AH423" s="27" t="s">
        <v>58</v>
      </c>
      <c r="AI423" s="27" t="s">
        <v>62</v>
      </c>
      <c r="AJ423" s="1" t="str">
        <f t="shared" si="164"/>
        <v>SYS.DCS.dcs_instance_id,dcs_cluster_proxy2_node.cpu_usage</v>
      </c>
      <c r="AK423" s="1" t="s">
        <v>152</v>
      </c>
      <c r="AL423" s="1"/>
    </row>
    <row r="424" spans="1:38" x14ac:dyDescent="0.25">
      <c r="A424" s="24">
        <f t="shared" si="162"/>
        <v>423</v>
      </c>
      <c r="B424" s="25" t="s">
        <v>1337</v>
      </c>
      <c r="C424" s="25" t="s">
        <v>1338</v>
      </c>
      <c r="D424" s="25" t="s">
        <v>1339</v>
      </c>
      <c r="E424" s="25" t="s">
        <v>1376</v>
      </c>
      <c r="F424" s="25" t="s">
        <v>1377</v>
      </c>
      <c r="G424" s="25" t="s">
        <v>204</v>
      </c>
      <c r="H424" s="25" t="s">
        <v>685</v>
      </c>
      <c r="I424" s="25" t="s">
        <v>489</v>
      </c>
      <c r="J424" s="25" t="s">
        <v>38</v>
      </c>
      <c r="K424" s="25">
        <v>60</v>
      </c>
      <c r="L424" s="25"/>
      <c r="M424" s="25" t="s">
        <v>58</v>
      </c>
      <c r="N424" s="23" t="s">
        <v>55</v>
      </c>
      <c r="O424" s="23" t="s">
        <v>59</v>
      </c>
      <c r="P424" s="23" t="s">
        <v>60</v>
      </c>
      <c r="Q424" s="23">
        <v>2</v>
      </c>
      <c r="R424" s="23" t="s">
        <v>61</v>
      </c>
      <c r="S424" s="23">
        <v>70</v>
      </c>
      <c r="T424" s="23">
        <v>80</v>
      </c>
      <c r="U424" s="23" t="s">
        <v>58</v>
      </c>
      <c r="V424" s="23" t="s">
        <v>62</v>
      </c>
      <c r="W424" s="23"/>
      <c r="X424" s="23" t="e">
        <f>IF(COUNTIF(#REF!,_xlfn.TEXTJOIN(".",,C424,F424,H424)),"是","否")</f>
        <v>#REF!</v>
      </c>
      <c r="Y424" s="23" t="e">
        <f t="shared" si="163"/>
        <v>#REF!</v>
      </c>
      <c r="Z424" s="23" t="s">
        <v>55</v>
      </c>
      <c r="AA424" s="27" t="s">
        <v>55</v>
      </c>
      <c r="AB424" s="27" t="s">
        <v>60</v>
      </c>
      <c r="AC424" s="27">
        <v>2</v>
      </c>
      <c r="AD424" s="27" t="s">
        <v>61</v>
      </c>
      <c r="AE424" s="27">
        <v>70</v>
      </c>
      <c r="AF424" s="27">
        <v>80</v>
      </c>
      <c r="AG424" s="27"/>
      <c r="AH424" s="27" t="s">
        <v>58</v>
      </c>
      <c r="AI424" s="27" t="s">
        <v>62</v>
      </c>
      <c r="AJ424" s="1" t="str">
        <f t="shared" si="164"/>
        <v>SYS.DCS.dcs_instance_id,dcs_cluster_proxy2_node.memory_usage</v>
      </c>
      <c r="AK424" s="1" t="s">
        <v>152</v>
      </c>
      <c r="AL424" s="1"/>
    </row>
    <row r="425" spans="1:38" x14ac:dyDescent="0.25">
      <c r="A425" s="24">
        <f t="shared" si="162"/>
        <v>424</v>
      </c>
      <c r="B425" s="25" t="s">
        <v>1337</v>
      </c>
      <c r="C425" s="25" t="s">
        <v>1338</v>
      </c>
      <c r="D425" s="25" t="s">
        <v>1339</v>
      </c>
      <c r="E425" s="25" t="s">
        <v>1376</v>
      </c>
      <c r="F425" s="25" t="s">
        <v>1377</v>
      </c>
      <c r="G425" s="25" t="s">
        <v>1345</v>
      </c>
      <c r="H425" s="25" t="s">
        <v>896</v>
      </c>
      <c r="I425" s="25" t="s">
        <v>1346</v>
      </c>
      <c r="J425" s="25" t="s">
        <v>38</v>
      </c>
      <c r="K425" s="25">
        <v>60</v>
      </c>
      <c r="L425" s="25"/>
      <c r="M425" s="25"/>
      <c r="N425" s="23" t="s">
        <v>55</v>
      </c>
      <c r="O425" s="23" t="s">
        <v>59</v>
      </c>
      <c r="P425" s="23" t="s">
        <v>60</v>
      </c>
      <c r="Q425" s="23">
        <v>2</v>
      </c>
      <c r="R425" s="23" t="s">
        <v>61</v>
      </c>
      <c r="S425" s="23">
        <v>8000</v>
      </c>
      <c r="T425" s="23">
        <v>9000</v>
      </c>
      <c r="U425" s="23" t="s">
        <v>172</v>
      </c>
      <c r="V425" s="23" t="s">
        <v>62</v>
      </c>
      <c r="W425" s="23"/>
      <c r="X425" s="23" t="e">
        <f>IF(COUNTIF(#REF!,_xlfn.TEXTJOIN(".",,C425,F425,H425)),"是","否")</f>
        <v>#REF!</v>
      </c>
      <c r="Y425" s="23" t="e">
        <f t="shared" si="163"/>
        <v>#REF!</v>
      </c>
      <c r="Z425" s="23"/>
      <c r="AA425" s="23"/>
      <c r="AB425" s="23"/>
      <c r="AC425" s="23"/>
      <c r="AD425" s="23"/>
      <c r="AE425" s="23"/>
      <c r="AF425" s="23"/>
      <c r="AG425" s="23"/>
      <c r="AH425" s="23"/>
      <c r="AI425" s="23"/>
      <c r="AJ425" s="1" t="str">
        <f t="shared" si="164"/>
        <v>SYS.DCS.dcs_instance_id,dcs_cluster_proxy2_node.connected_clients</v>
      </c>
      <c r="AK425" s="1"/>
      <c r="AL425" s="1"/>
    </row>
    <row r="426" spans="1:38" x14ac:dyDescent="0.25">
      <c r="A426" s="24">
        <f t="shared" si="162"/>
        <v>425</v>
      </c>
      <c r="B426" s="25" t="s">
        <v>1337</v>
      </c>
      <c r="C426" s="25" t="s">
        <v>1338</v>
      </c>
      <c r="D426" s="25" t="s">
        <v>1339</v>
      </c>
      <c r="E426" s="25" t="s">
        <v>1376</v>
      </c>
      <c r="F426" s="25" t="s">
        <v>1377</v>
      </c>
      <c r="G426" s="25" t="s">
        <v>1367</v>
      </c>
      <c r="H426" s="25" t="s">
        <v>1368</v>
      </c>
      <c r="I426" s="22" t="s">
        <v>1369</v>
      </c>
      <c r="J426" s="22" t="s">
        <v>38</v>
      </c>
      <c r="K426" s="22">
        <v>5</v>
      </c>
      <c r="L426" s="22" t="s">
        <v>45</v>
      </c>
      <c r="M426" s="22" t="s">
        <v>1370</v>
      </c>
      <c r="N426" s="23" t="s">
        <v>55</v>
      </c>
      <c r="O426" s="23" t="s">
        <v>59</v>
      </c>
      <c r="P426" s="23" t="s">
        <v>60</v>
      </c>
      <c r="Q426" s="23">
        <v>1</v>
      </c>
      <c r="R426" s="23" t="s">
        <v>61</v>
      </c>
      <c r="S426" s="23"/>
      <c r="T426" s="23">
        <v>900</v>
      </c>
      <c r="U426" s="22" t="s">
        <v>1370</v>
      </c>
      <c r="V426" s="23" t="s">
        <v>62</v>
      </c>
      <c r="W426" s="23"/>
      <c r="X426" s="23" t="e">
        <f>IF(COUNTIF(#REF!,_xlfn.TEXTJOIN(".",,C426,F426,H426)),"是","否")</f>
        <v>#REF!</v>
      </c>
      <c r="Y426" s="23" t="e">
        <f t="shared" si="163"/>
        <v>#REF!</v>
      </c>
      <c r="Z426" s="23" t="s">
        <v>55</v>
      </c>
      <c r="AA426" s="27" t="s">
        <v>55</v>
      </c>
      <c r="AB426" s="27" t="s">
        <v>60</v>
      </c>
      <c r="AC426" s="27">
        <v>2</v>
      </c>
      <c r="AD426" s="27" t="s">
        <v>61</v>
      </c>
      <c r="AE426" s="27"/>
      <c r="AF426" s="27">
        <v>900</v>
      </c>
      <c r="AG426" s="27" t="s">
        <v>257</v>
      </c>
      <c r="AH426" s="27" t="s">
        <v>44</v>
      </c>
      <c r="AI426" s="27" t="s">
        <v>62</v>
      </c>
      <c r="AJ426" s="1" t="str">
        <f t="shared" si="164"/>
        <v>SYS.DCS.dcs_instance_id,dcs_cluster_proxy2_node.command_max_rt</v>
      </c>
      <c r="AK426" s="1" t="s">
        <v>302</v>
      </c>
      <c r="AL426" s="1"/>
    </row>
    <row r="427" spans="1:38" x14ac:dyDescent="0.25">
      <c r="A427" s="24">
        <f t="shared" si="162"/>
        <v>426</v>
      </c>
      <c r="B427" s="25" t="s">
        <v>1337</v>
      </c>
      <c r="C427" s="25" t="s">
        <v>1338</v>
      </c>
      <c r="D427" s="25" t="s">
        <v>1339</v>
      </c>
      <c r="E427" s="25" t="s">
        <v>1376</v>
      </c>
      <c r="F427" s="25" t="s">
        <v>1377</v>
      </c>
      <c r="G427" s="25" t="s">
        <v>138</v>
      </c>
      <c r="H427" s="25" t="s">
        <v>1371</v>
      </c>
      <c r="I427" s="22" t="s">
        <v>1372</v>
      </c>
      <c r="J427" s="22" t="s">
        <v>38</v>
      </c>
      <c r="K427" s="22">
        <v>5</v>
      </c>
      <c r="L427" s="22" t="s">
        <v>45</v>
      </c>
      <c r="M427" s="22" t="s">
        <v>1370</v>
      </c>
      <c r="N427" s="23" t="s">
        <v>55</v>
      </c>
      <c r="O427" s="23" t="s">
        <v>59</v>
      </c>
      <c r="P427" s="23" t="s">
        <v>60</v>
      </c>
      <c r="Q427" s="23">
        <v>1</v>
      </c>
      <c r="R427" s="23" t="s">
        <v>61</v>
      </c>
      <c r="S427" s="23"/>
      <c r="T427" s="23">
        <v>150</v>
      </c>
      <c r="U427" s="3" t="s">
        <v>1370</v>
      </c>
      <c r="V427" s="23" t="s">
        <v>62</v>
      </c>
      <c r="W427" s="23"/>
      <c r="X427" s="23" t="e">
        <f>IF(COUNTIF(#REF!,_xlfn.TEXTJOIN(".",,C427,F427,H427)),"是","否")</f>
        <v>#REF!</v>
      </c>
      <c r="Y427" s="23" t="e">
        <f t="shared" si="163"/>
        <v>#REF!</v>
      </c>
      <c r="Z427" s="23" t="s">
        <v>55</v>
      </c>
      <c r="AA427" s="27" t="s">
        <v>55</v>
      </c>
      <c r="AB427" s="27" t="s">
        <v>60</v>
      </c>
      <c r="AC427" s="27">
        <v>2</v>
      </c>
      <c r="AD427" s="27" t="s">
        <v>61</v>
      </c>
      <c r="AE427" s="27"/>
      <c r="AF427" s="27">
        <v>150</v>
      </c>
      <c r="AG427" s="27" t="s">
        <v>257</v>
      </c>
      <c r="AH427" s="27" t="s">
        <v>44</v>
      </c>
      <c r="AI427" s="27" t="s">
        <v>62</v>
      </c>
      <c r="AJ427" s="1" t="str">
        <f t="shared" si="164"/>
        <v>SYS.DCS.dcs_instance_id,dcs_cluster_proxy2_node.command_avg_rt</v>
      </c>
      <c r="AK427" s="1" t="s">
        <v>302</v>
      </c>
      <c r="AL427" s="1"/>
    </row>
    <row r="428" spans="1:38" x14ac:dyDescent="0.25">
      <c r="A428" s="24">
        <f t="shared" si="162"/>
        <v>427</v>
      </c>
      <c r="B428" s="25" t="s">
        <v>1337</v>
      </c>
      <c r="C428" s="25" t="s">
        <v>1338</v>
      </c>
      <c r="D428" s="25" t="s">
        <v>1339</v>
      </c>
      <c r="E428" s="25" t="s">
        <v>1376</v>
      </c>
      <c r="F428" s="25" t="s">
        <v>1377</v>
      </c>
      <c r="G428" s="25" t="s">
        <v>174</v>
      </c>
      <c r="H428" s="25" t="s">
        <v>636</v>
      </c>
      <c r="I428" s="25" t="s">
        <v>1379</v>
      </c>
      <c r="J428" s="25" t="s">
        <v>38</v>
      </c>
      <c r="K428" s="25">
        <v>60</v>
      </c>
      <c r="L428" s="25" t="s">
        <v>39</v>
      </c>
      <c r="M428" s="25" t="s">
        <v>58</v>
      </c>
      <c r="N428" s="23" t="s">
        <v>55</v>
      </c>
      <c r="O428" s="23" t="s">
        <v>59</v>
      </c>
      <c r="P428" s="23" t="s">
        <v>60</v>
      </c>
      <c r="Q428" s="23">
        <v>2</v>
      </c>
      <c r="R428" s="23" t="s">
        <v>61</v>
      </c>
      <c r="S428" s="23">
        <v>80</v>
      </c>
      <c r="T428" s="23">
        <v>90</v>
      </c>
      <c r="U428" s="23" t="s">
        <v>58</v>
      </c>
      <c r="V428" s="23" t="s">
        <v>62</v>
      </c>
      <c r="W428" s="23"/>
      <c r="X428" s="23" t="e">
        <f>IF(COUNTIF(#REF!,_xlfn.TEXTJOIN(".",,C428,F428,H428)),"是","否")</f>
        <v>#REF!</v>
      </c>
      <c r="Y428" s="23" t="e">
        <f t="shared" si="163"/>
        <v>#REF!</v>
      </c>
      <c r="Z428" s="23" t="s">
        <v>55</v>
      </c>
      <c r="AA428" s="27" t="s">
        <v>55</v>
      </c>
      <c r="AB428" s="27" t="s">
        <v>60</v>
      </c>
      <c r="AC428" s="27">
        <v>2</v>
      </c>
      <c r="AD428" s="27" t="s">
        <v>61</v>
      </c>
      <c r="AE428" s="27">
        <v>70</v>
      </c>
      <c r="AF428" s="27">
        <v>80</v>
      </c>
      <c r="AG428" s="27" t="s">
        <v>1378</v>
      </c>
      <c r="AH428" s="27" t="s">
        <v>58</v>
      </c>
      <c r="AI428" s="27" t="s">
        <v>62</v>
      </c>
      <c r="AJ428" s="1" t="str">
        <f t="shared" si="164"/>
        <v>SYS.DCS.dcs_instance_id,dcs_cluster_proxy2_node.connections_usage</v>
      </c>
      <c r="AK428" s="1" t="s">
        <v>152</v>
      </c>
      <c r="AL428" s="1"/>
    </row>
    <row r="429" spans="1:38" x14ac:dyDescent="0.25">
      <c r="A429" s="24">
        <f t="shared" si="162"/>
        <v>428</v>
      </c>
      <c r="B429" s="25" t="s">
        <v>1337</v>
      </c>
      <c r="C429" s="25" t="s">
        <v>1338</v>
      </c>
      <c r="D429" s="25" t="s">
        <v>1339</v>
      </c>
      <c r="E429" s="25" t="s">
        <v>1376</v>
      </c>
      <c r="F429" s="25" t="s">
        <v>1377</v>
      </c>
      <c r="G429" s="25" t="s">
        <v>1373</v>
      </c>
      <c r="H429" s="25" t="s">
        <v>1374</v>
      </c>
      <c r="I429" s="25" t="s">
        <v>1375</v>
      </c>
      <c r="J429" s="25" t="s">
        <v>38</v>
      </c>
      <c r="K429" s="25">
        <v>60</v>
      </c>
      <c r="L429" s="25" t="s">
        <v>39</v>
      </c>
      <c r="M429" s="25" t="s">
        <v>58</v>
      </c>
      <c r="N429" s="23" t="s">
        <v>55</v>
      </c>
      <c r="O429" s="23" t="s">
        <v>59</v>
      </c>
      <c r="P429" s="26" t="s">
        <v>60</v>
      </c>
      <c r="Q429" s="26">
        <v>2</v>
      </c>
      <c r="R429" s="26" t="s">
        <v>61</v>
      </c>
      <c r="S429" s="26">
        <v>70</v>
      </c>
      <c r="T429" s="26">
        <v>80</v>
      </c>
      <c r="U429" s="23" t="s">
        <v>58</v>
      </c>
      <c r="V429" s="23" t="s">
        <v>62</v>
      </c>
      <c r="W429" s="23"/>
      <c r="X429" s="23" t="e">
        <f>IF(COUNTIF(#REF!,_xlfn.TEXTJOIN(".",,C429,F429,H429)),"是","否")</f>
        <v>#REF!</v>
      </c>
      <c r="Y429" s="23" t="e">
        <f t="shared" si="163"/>
        <v>#REF!</v>
      </c>
      <c r="Z429" s="23"/>
      <c r="AA429" s="23"/>
      <c r="AB429" s="23"/>
      <c r="AC429" s="23"/>
      <c r="AD429" s="23"/>
      <c r="AE429" s="23"/>
      <c r="AF429" s="23"/>
      <c r="AG429" s="23"/>
      <c r="AH429" s="23"/>
      <c r="AI429" s="23"/>
      <c r="AJ429" s="1" t="str">
        <f t="shared" si="164"/>
        <v>SYS.DCS.dcs_instance_id,dcs_cluster_proxy2_node.cpu_avg_usage</v>
      </c>
      <c r="AK429" s="1"/>
      <c r="AL429" s="1"/>
    </row>
    <row r="430" spans="1:38" x14ac:dyDescent="0.25">
      <c r="A430" s="24">
        <f t="shared" si="162"/>
        <v>429</v>
      </c>
      <c r="B430" s="25" t="s">
        <v>1337</v>
      </c>
      <c r="C430" s="25" t="s">
        <v>1338</v>
      </c>
      <c r="D430" s="25" t="s">
        <v>1339</v>
      </c>
      <c r="E430" s="25" t="s">
        <v>1380</v>
      </c>
      <c r="F430" s="25" t="s">
        <v>1381</v>
      </c>
      <c r="G430" s="25" t="s">
        <v>201</v>
      </c>
      <c r="H430" s="25" t="s">
        <v>85</v>
      </c>
      <c r="I430" s="25" t="s">
        <v>487</v>
      </c>
      <c r="J430" s="25" t="s">
        <v>38</v>
      </c>
      <c r="K430" s="25">
        <v>60</v>
      </c>
      <c r="L430" s="25"/>
      <c r="M430" s="25" t="s">
        <v>58</v>
      </c>
      <c r="N430" s="23" t="s">
        <v>55</v>
      </c>
      <c r="O430" s="23" t="s">
        <v>59</v>
      </c>
      <c r="P430" s="23" t="s">
        <v>60</v>
      </c>
      <c r="Q430" s="23">
        <v>2</v>
      </c>
      <c r="R430" s="23" t="s">
        <v>61</v>
      </c>
      <c r="S430" s="23">
        <v>70</v>
      </c>
      <c r="T430" s="23">
        <v>80</v>
      </c>
      <c r="U430" s="23" t="s">
        <v>58</v>
      </c>
      <c r="V430" s="23" t="s">
        <v>62</v>
      </c>
      <c r="W430" s="23"/>
      <c r="X430" s="23" t="e">
        <f>IF(COUNTIF(#REF!,_xlfn.TEXTJOIN(".",,C430,F430,H430)),"是","否")</f>
        <v>#REF!</v>
      </c>
      <c r="Y430" s="23" t="e">
        <f t="shared" si="163"/>
        <v>#REF!</v>
      </c>
      <c r="Z430" s="23" t="s">
        <v>55</v>
      </c>
      <c r="AA430" s="27" t="s">
        <v>55</v>
      </c>
      <c r="AB430" s="27" t="s">
        <v>60</v>
      </c>
      <c r="AC430" s="27">
        <v>2</v>
      </c>
      <c r="AD430" s="27" t="s">
        <v>61</v>
      </c>
      <c r="AE430" s="27">
        <v>70</v>
      </c>
      <c r="AF430" s="27">
        <v>80</v>
      </c>
      <c r="AG430" s="27"/>
      <c r="AH430" s="27" t="s">
        <v>58</v>
      </c>
      <c r="AI430" s="27" t="s">
        <v>62</v>
      </c>
      <c r="AJ430" s="1" t="str">
        <f t="shared" si="164"/>
        <v>SYS.DCS.dcs_instance_id,dcs_cluster_proxy_node.cpu_usage</v>
      </c>
      <c r="AK430" s="1" t="s">
        <v>152</v>
      </c>
      <c r="AL430" s="1"/>
    </row>
    <row r="431" spans="1:38" x14ac:dyDescent="0.25">
      <c r="A431" s="24">
        <f t="shared" si="162"/>
        <v>430</v>
      </c>
      <c r="B431" s="25" t="s">
        <v>1337</v>
      </c>
      <c r="C431" s="25" t="s">
        <v>1338</v>
      </c>
      <c r="D431" s="25" t="s">
        <v>1339</v>
      </c>
      <c r="E431" s="25" t="s">
        <v>1380</v>
      </c>
      <c r="F431" s="25" t="s">
        <v>1381</v>
      </c>
      <c r="G431" s="25" t="s">
        <v>204</v>
      </c>
      <c r="H431" s="25" t="s">
        <v>685</v>
      </c>
      <c r="I431" s="25" t="s">
        <v>489</v>
      </c>
      <c r="J431" s="25" t="s">
        <v>38</v>
      </c>
      <c r="K431" s="25">
        <v>60</v>
      </c>
      <c r="L431" s="25"/>
      <c r="M431" s="25" t="s">
        <v>58</v>
      </c>
      <c r="N431" s="23" t="s">
        <v>55</v>
      </c>
      <c r="O431" s="23" t="s">
        <v>59</v>
      </c>
      <c r="P431" s="23" t="s">
        <v>60</v>
      </c>
      <c r="Q431" s="23">
        <v>2</v>
      </c>
      <c r="R431" s="23" t="s">
        <v>61</v>
      </c>
      <c r="S431" s="23">
        <v>70</v>
      </c>
      <c r="T431" s="23">
        <v>80</v>
      </c>
      <c r="U431" s="23" t="s">
        <v>58</v>
      </c>
      <c r="V431" s="23" t="s">
        <v>62</v>
      </c>
      <c r="W431" s="23"/>
      <c r="X431" s="23" t="e">
        <f>IF(COUNTIF(#REF!,_xlfn.TEXTJOIN(".",,C431,F431,H431)),"是","否")</f>
        <v>#REF!</v>
      </c>
      <c r="Y431" s="23" t="e">
        <f t="shared" si="163"/>
        <v>#REF!</v>
      </c>
      <c r="Z431" s="23"/>
      <c r="AA431" s="28" t="s">
        <v>55</v>
      </c>
      <c r="AB431" s="28" t="s">
        <v>60</v>
      </c>
      <c r="AC431" s="28">
        <v>2</v>
      </c>
      <c r="AD431" s="28" t="s">
        <v>61</v>
      </c>
      <c r="AE431" s="28">
        <v>70</v>
      </c>
      <c r="AF431" s="28">
        <v>80</v>
      </c>
      <c r="AG431" s="28"/>
      <c r="AH431" s="28" t="s">
        <v>58</v>
      </c>
      <c r="AI431" s="28" t="s">
        <v>62</v>
      </c>
      <c r="AJ431" s="1" t="str">
        <f t="shared" si="164"/>
        <v>SYS.DCS.dcs_instance_id,dcs_cluster_proxy_node.memory_usage</v>
      </c>
      <c r="AK431" s="1"/>
      <c r="AL431" s="1"/>
    </row>
    <row r="432" spans="1:38" x14ac:dyDescent="0.25">
      <c r="A432" s="24">
        <f t="shared" si="162"/>
        <v>431</v>
      </c>
      <c r="B432" s="25" t="s">
        <v>1337</v>
      </c>
      <c r="C432" s="25" t="s">
        <v>1338</v>
      </c>
      <c r="D432" s="25" t="s">
        <v>1339</v>
      </c>
      <c r="E432" s="25" t="s">
        <v>1380</v>
      </c>
      <c r="F432" s="25" t="s">
        <v>1381</v>
      </c>
      <c r="G432" s="25" t="s">
        <v>1345</v>
      </c>
      <c r="H432" s="25" t="s">
        <v>1382</v>
      </c>
      <c r="I432" s="25" t="s">
        <v>1346</v>
      </c>
      <c r="J432" s="25" t="s">
        <v>38</v>
      </c>
      <c r="K432" s="25">
        <v>60</v>
      </c>
      <c r="L432" s="25"/>
      <c r="M432" s="25"/>
      <c r="N432" s="23" t="s">
        <v>55</v>
      </c>
      <c r="O432" s="23" t="s">
        <v>59</v>
      </c>
      <c r="P432" s="23" t="s">
        <v>60</v>
      </c>
      <c r="Q432" s="23">
        <v>2</v>
      </c>
      <c r="R432" s="23" t="s">
        <v>61</v>
      </c>
      <c r="S432" s="23">
        <v>8000</v>
      </c>
      <c r="T432" s="23">
        <v>9000</v>
      </c>
      <c r="U432" s="23" t="s">
        <v>172</v>
      </c>
      <c r="V432" s="23" t="s">
        <v>62</v>
      </c>
      <c r="W432" s="23"/>
      <c r="X432" s="23" t="e">
        <f>IF(COUNTIF(#REF!,_xlfn.TEXTJOIN(".",,C432,F432,H432)),"是","否")</f>
        <v>#REF!</v>
      </c>
      <c r="Y432" s="23" t="e">
        <f t="shared" si="163"/>
        <v>#REF!</v>
      </c>
      <c r="Z432" s="23"/>
      <c r="AA432" s="23"/>
      <c r="AB432" s="23"/>
      <c r="AC432" s="23"/>
      <c r="AD432" s="23"/>
      <c r="AE432" s="23"/>
      <c r="AF432" s="23"/>
      <c r="AG432" s="23"/>
      <c r="AH432" s="23"/>
      <c r="AI432" s="23"/>
      <c r="AJ432" s="1" t="str">
        <f t="shared" si="164"/>
        <v>SYS.DCS.dcs_instance_id,dcs_cluster_proxy_node.p_connected_clients</v>
      </c>
      <c r="AK432" s="1"/>
      <c r="AL432" s="1"/>
    </row>
    <row r="433" spans="1:38" x14ac:dyDescent="0.25">
      <c r="A433" s="24">
        <f t="shared" si="162"/>
        <v>432</v>
      </c>
      <c r="B433" s="25" t="s">
        <v>1337</v>
      </c>
      <c r="C433" s="25" t="s">
        <v>1338</v>
      </c>
      <c r="D433" s="25" t="s">
        <v>1339</v>
      </c>
      <c r="E433" s="25" t="s">
        <v>1383</v>
      </c>
      <c r="F433" s="25" t="s">
        <v>1384</v>
      </c>
      <c r="G433" s="25" t="s">
        <v>204</v>
      </c>
      <c r="H433" s="25" t="s">
        <v>685</v>
      </c>
      <c r="I433" s="25" t="s">
        <v>489</v>
      </c>
      <c r="J433" s="25" t="s">
        <v>38</v>
      </c>
      <c r="K433" s="25">
        <v>60</v>
      </c>
      <c r="L433" s="25"/>
      <c r="M433" s="25" t="s">
        <v>58</v>
      </c>
      <c r="N433" s="23" t="s">
        <v>55</v>
      </c>
      <c r="O433" s="23" t="s">
        <v>59</v>
      </c>
      <c r="P433" s="23" t="s">
        <v>60</v>
      </c>
      <c r="Q433" s="23">
        <v>2</v>
      </c>
      <c r="R433" s="23" t="s">
        <v>61</v>
      </c>
      <c r="S433" s="23">
        <v>70</v>
      </c>
      <c r="T433" s="23">
        <v>80</v>
      </c>
      <c r="U433" s="23" t="s">
        <v>58</v>
      </c>
      <c r="V433" s="23" t="s">
        <v>62</v>
      </c>
      <c r="W433" s="23"/>
      <c r="X433" s="23" t="e">
        <f>IF(COUNTIF(#REF!,_xlfn.TEXTJOIN(".",,C433,F433,H433)),"是","否")</f>
        <v>#REF!</v>
      </c>
      <c r="Y433" s="23" t="e">
        <f t="shared" si="163"/>
        <v>#REF!</v>
      </c>
      <c r="Z433" s="23" t="s">
        <v>55</v>
      </c>
      <c r="AA433" s="27" t="s">
        <v>55</v>
      </c>
      <c r="AB433" s="27" t="s">
        <v>60</v>
      </c>
      <c r="AC433" s="27">
        <v>2</v>
      </c>
      <c r="AD433" s="27" t="s">
        <v>61</v>
      </c>
      <c r="AE433" s="27">
        <v>70</v>
      </c>
      <c r="AF433" s="27">
        <v>80</v>
      </c>
      <c r="AG433" s="27"/>
      <c r="AH433" s="27" t="s">
        <v>58</v>
      </c>
      <c r="AI433" s="27" t="s">
        <v>62</v>
      </c>
      <c r="AJ433" s="1" t="str">
        <f t="shared" si="164"/>
        <v>SYS.DCS.dcs_instance_id,dcs_cluster_redis_node.memory_usage</v>
      </c>
      <c r="AK433" s="1" t="s">
        <v>152</v>
      </c>
      <c r="AL433" s="1"/>
    </row>
    <row r="434" spans="1:38" x14ac:dyDescent="0.25">
      <c r="A434" s="24">
        <f t="shared" si="162"/>
        <v>433</v>
      </c>
      <c r="B434" s="25" t="s">
        <v>1337</v>
      </c>
      <c r="C434" s="25" t="s">
        <v>1338</v>
      </c>
      <c r="D434" s="25" t="s">
        <v>1339</v>
      </c>
      <c r="E434" s="25" t="s">
        <v>1383</v>
      </c>
      <c r="F434" s="25" t="s">
        <v>1384</v>
      </c>
      <c r="G434" s="25" t="s">
        <v>1345</v>
      </c>
      <c r="H434" s="25" t="s">
        <v>896</v>
      </c>
      <c r="I434" s="25" t="s">
        <v>1346</v>
      </c>
      <c r="J434" s="25" t="s">
        <v>38</v>
      </c>
      <c r="K434" s="25">
        <v>60</v>
      </c>
      <c r="L434" s="25"/>
      <c r="M434" s="25"/>
      <c r="N434" s="23" t="s">
        <v>55</v>
      </c>
      <c r="O434" s="23" t="s">
        <v>59</v>
      </c>
      <c r="P434" s="23" t="s">
        <v>60</v>
      </c>
      <c r="Q434" s="23">
        <v>2</v>
      </c>
      <c r="R434" s="23" t="s">
        <v>61</v>
      </c>
      <c r="S434" s="23">
        <v>8000</v>
      </c>
      <c r="T434" s="23">
        <v>9000</v>
      </c>
      <c r="U434" s="23" t="s">
        <v>172</v>
      </c>
      <c r="V434" s="23" t="s">
        <v>62</v>
      </c>
      <c r="W434" s="23"/>
      <c r="X434" s="23" t="e">
        <f>IF(COUNTIF(#REF!,_xlfn.TEXTJOIN(".",,C434,F434,H434)),"是","否")</f>
        <v>#REF!</v>
      </c>
      <c r="Y434" s="23" t="e">
        <f t="shared" si="163"/>
        <v>#REF!</v>
      </c>
      <c r="Z434" s="23"/>
      <c r="AA434" s="23"/>
      <c r="AB434" s="23"/>
      <c r="AC434" s="23"/>
      <c r="AD434" s="23"/>
      <c r="AE434" s="23"/>
      <c r="AF434" s="23"/>
      <c r="AG434" s="23"/>
      <c r="AH434" s="23"/>
      <c r="AI434" s="23"/>
      <c r="AJ434" s="1" t="str">
        <f t="shared" si="164"/>
        <v>SYS.DCS.dcs_instance_id,dcs_cluster_redis_node.connected_clients</v>
      </c>
      <c r="AK434" s="1"/>
      <c r="AL434" s="1"/>
    </row>
    <row r="435" spans="1:38" x14ac:dyDescent="0.25">
      <c r="A435" s="24">
        <f t="shared" si="162"/>
        <v>434</v>
      </c>
      <c r="B435" s="25" t="s">
        <v>1337</v>
      </c>
      <c r="C435" s="25" t="s">
        <v>1338</v>
      </c>
      <c r="D435" s="25" t="s">
        <v>1339</v>
      </c>
      <c r="E435" s="25" t="s">
        <v>1383</v>
      </c>
      <c r="F435" s="25" t="s">
        <v>1384</v>
      </c>
      <c r="G435" s="25" t="s">
        <v>201</v>
      </c>
      <c r="H435" s="25" t="s">
        <v>85</v>
      </c>
      <c r="I435" s="25" t="s">
        <v>487</v>
      </c>
      <c r="J435" s="25" t="s">
        <v>38</v>
      </c>
      <c r="K435" s="25">
        <v>60</v>
      </c>
      <c r="L435" s="25"/>
      <c r="M435" s="25" t="s">
        <v>58</v>
      </c>
      <c r="N435" s="23" t="s">
        <v>55</v>
      </c>
      <c r="O435" s="23" t="s">
        <v>59</v>
      </c>
      <c r="P435" s="23" t="s">
        <v>60</v>
      </c>
      <c r="Q435" s="23">
        <v>2</v>
      </c>
      <c r="R435" s="23" t="s">
        <v>61</v>
      </c>
      <c r="S435" s="23">
        <v>70</v>
      </c>
      <c r="T435" s="23">
        <v>80</v>
      </c>
      <c r="U435" s="23" t="s">
        <v>58</v>
      </c>
      <c r="V435" s="23" t="s">
        <v>62</v>
      </c>
      <c r="W435" s="23"/>
      <c r="X435" s="23" t="e">
        <f>IF(COUNTIF(#REF!,_xlfn.TEXTJOIN(".",,C435,F435,H435)),"是","否")</f>
        <v>#REF!</v>
      </c>
      <c r="Y435" s="23" t="e">
        <f t="shared" si="163"/>
        <v>#REF!</v>
      </c>
      <c r="Z435" s="23" t="s">
        <v>55</v>
      </c>
      <c r="AA435" s="27" t="s">
        <v>55</v>
      </c>
      <c r="AB435" s="27" t="s">
        <v>60</v>
      </c>
      <c r="AC435" s="27">
        <v>2</v>
      </c>
      <c r="AD435" s="27" t="s">
        <v>61</v>
      </c>
      <c r="AE435" s="27">
        <v>70</v>
      </c>
      <c r="AF435" s="27" t="s">
        <v>1348</v>
      </c>
      <c r="AG435" s="27"/>
      <c r="AH435" s="27" t="s">
        <v>58</v>
      </c>
      <c r="AI435" s="27" t="s">
        <v>62</v>
      </c>
      <c r="AJ435" s="1" t="str">
        <f t="shared" si="164"/>
        <v>SYS.DCS.dcs_instance_id,dcs_cluster_redis_node.cpu_usage</v>
      </c>
      <c r="AK435" s="1" t="s">
        <v>152</v>
      </c>
      <c r="AL435" s="1"/>
    </row>
    <row r="436" spans="1:38" x14ac:dyDescent="0.25">
      <c r="A436" s="24">
        <f t="shared" si="162"/>
        <v>435</v>
      </c>
      <c r="B436" s="25" t="s">
        <v>1337</v>
      </c>
      <c r="C436" s="25" t="s">
        <v>1338</v>
      </c>
      <c r="D436" s="25" t="s">
        <v>1339</v>
      </c>
      <c r="E436" s="25" t="s">
        <v>1383</v>
      </c>
      <c r="F436" s="25" t="s">
        <v>1384</v>
      </c>
      <c r="G436" s="25" t="s">
        <v>265</v>
      </c>
      <c r="H436" s="25" t="s">
        <v>1349</v>
      </c>
      <c r="I436" s="22" t="s">
        <v>1350</v>
      </c>
      <c r="J436" s="22" t="s">
        <v>38</v>
      </c>
      <c r="K436" s="22">
        <v>60</v>
      </c>
      <c r="L436" s="22"/>
      <c r="M436" s="22"/>
      <c r="N436" s="23" t="s">
        <v>55</v>
      </c>
      <c r="O436" s="23" t="s">
        <v>59</v>
      </c>
      <c r="P436" s="23" t="s">
        <v>60</v>
      </c>
      <c r="Q436" s="23">
        <v>1</v>
      </c>
      <c r="R436" s="23" t="s">
        <v>61</v>
      </c>
      <c r="S436" s="23"/>
      <c r="T436" s="23">
        <v>1000</v>
      </c>
      <c r="U436" s="3"/>
      <c r="V436" s="23" t="s">
        <v>62</v>
      </c>
      <c r="W436" s="23"/>
      <c r="X436" s="23" t="e">
        <f>IF(COUNTIF(#REF!,_xlfn.TEXTJOIN(".",,C436,F436,H436)),"是","否")</f>
        <v>#REF!</v>
      </c>
      <c r="Y436" s="23" t="e">
        <f t="shared" si="163"/>
        <v>#REF!</v>
      </c>
      <c r="Z436" s="23"/>
      <c r="AA436" s="23"/>
      <c r="AB436" s="23"/>
      <c r="AC436" s="23"/>
      <c r="AD436" s="23"/>
      <c r="AE436" s="23"/>
      <c r="AF436" s="23"/>
      <c r="AG436" s="23"/>
      <c r="AH436" s="23"/>
      <c r="AI436" s="23"/>
      <c r="AJ436" s="1" t="str">
        <f t="shared" si="164"/>
        <v>SYS.DCS.dcs_instance_id,dcs_cluster_redis_node.total_connections_received</v>
      </c>
      <c r="AK436" s="1"/>
      <c r="AL436" s="1"/>
    </row>
    <row r="437" spans="1:38" x14ac:dyDescent="0.25">
      <c r="A437" s="24">
        <f t="shared" ref="A437:A448" si="165">ROW()-1</f>
        <v>436</v>
      </c>
      <c r="B437" s="25" t="s">
        <v>1337</v>
      </c>
      <c r="C437" s="25" t="s">
        <v>1338</v>
      </c>
      <c r="D437" s="25" t="s">
        <v>1339</v>
      </c>
      <c r="E437" s="25" t="s">
        <v>1383</v>
      </c>
      <c r="F437" s="25" t="s">
        <v>1384</v>
      </c>
      <c r="G437" s="25" t="s">
        <v>1354</v>
      </c>
      <c r="H437" s="25" t="s">
        <v>1355</v>
      </c>
      <c r="I437" s="25" t="s">
        <v>1356</v>
      </c>
      <c r="J437" s="25" t="s">
        <v>38</v>
      </c>
      <c r="K437" s="25">
        <v>60</v>
      </c>
      <c r="L437" s="25"/>
      <c r="M437" s="25"/>
      <c r="N437" s="23" t="s">
        <v>55</v>
      </c>
      <c r="O437" s="23" t="s">
        <v>59</v>
      </c>
      <c r="P437" s="23" t="s">
        <v>60</v>
      </c>
      <c r="Q437" s="23">
        <v>1</v>
      </c>
      <c r="R437" s="34" t="s">
        <v>240</v>
      </c>
      <c r="S437" s="26">
        <v>1</v>
      </c>
      <c r="T437" s="23"/>
      <c r="U437" s="23" t="s">
        <v>571</v>
      </c>
      <c r="V437" s="23" t="s">
        <v>62</v>
      </c>
      <c r="W437" s="23"/>
      <c r="X437" s="23" t="e">
        <f>IF(COUNTIF(#REF!,_xlfn.TEXTJOIN(".",,C437,F437,H437)),"是","否")</f>
        <v>#REF!</v>
      </c>
      <c r="Y437" s="23" t="e">
        <f t="shared" ref="Y437:Y448" si="166">IF(AND(O437="底线指标",X437="是"),"是","否")</f>
        <v>#REF!</v>
      </c>
      <c r="Z437" s="23"/>
      <c r="AA437" s="28" t="s">
        <v>55</v>
      </c>
      <c r="AB437" s="28" t="s">
        <v>60</v>
      </c>
      <c r="AC437" s="28">
        <v>1</v>
      </c>
      <c r="AD437" s="28" t="s">
        <v>61</v>
      </c>
      <c r="AE437" s="28">
        <v>0</v>
      </c>
      <c r="AF437" s="28"/>
      <c r="AG437" s="28"/>
      <c r="AH437" s="28"/>
      <c r="AI437" s="28" t="s">
        <v>62</v>
      </c>
      <c r="AJ437" s="1" t="str">
        <f t="shared" ref="AJ437:AJ448" si="167">_xlfn.TEXTJOIN(".",TRUE,C437,F437,H437)</f>
        <v>SYS.DCS.dcs_instance_id,dcs_cluster_redis_node.is_slow_log_exist</v>
      </c>
      <c r="AK437" s="1"/>
      <c r="AL437" s="1"/>
    </row>
    <row r="438" spans="1:38" x14ac:dyDescent="0.25">
      <c r="A438" s="24">
        <f t="shared" si="165"/>
        <v>437</v>
      </c>
      <c r="B438" s="25" t="s">
        <v>1337</v>
      </c>
      <c r="C438" s="25" t="s">
        <v>1338</v>
      </c>
      <c r="D438" s="25" t="s">
        <v>1339</v>
      </c>
      <c r="E438" s="25" t="s">
        <v>1383</v>
      </c>
      <c r="F438" s="25" t="s">
        <v>1384</v>
      </c>
      <c r="G438" s="25" t="s">
        <v>1358</v>
      </c>
      <c r="H438" s="25" t="s">
        <v>1359</v>
      </c>
      <c r="I438" s="25" t="s">
        <v>1360</v>
      </c>
      <c r="J438" s="25" t="s">
        <v>38</v>
      </c>
      <c r="K438" s="25">
        <v>60</v>
      </c>
      <c r="L438" s="25" t="s">
        <v>45</v>
      </c>
      <c r="M438" s="25" t="s">
        <v>43</v>
      </c>
      <c r="N438" s="23" t="s">
        <v>55</v>
      </c>
      <c r="O438" s="23" t="s">
        <v>59</v>
      </c>
      <c r="P438" s="23" t="s">
        <v>60</v>
      </c>
      <c r="Q438" s="23">
        <v>3</v>
      </c>
      <c r="R438" s="23" t="s">
        <v>240</v>
      </c>
      <c r="S438" s="23"/>
      <c r="T438" s="23">
        <v>1</v>
      </c>
      <c r="U438" s="23" t="s">
        <v>172</v>
      </c>
      <c r="V438" s="23" t="s">
        <v>62</v>
      </c>
      <c r="W438" s="23"/>
      <c r="X438" s="23" t="e">
        <f>IF(COUNTIF(#REF!,_xlfn.TEXTJOIN(".",,C438,F438,H438)),"是","否")</f>
        <v>#REF!</v>
      </c>
      <c r="Y438" s="23" t="e">
        <f t="shared" si="166"/>
        <v>#REF!</v>
      </c>
      <c r="Z438" s="23"/>
      <c r="AA438" s="28" t="s">
        <v>55</v>
      </c>
      <c r="AB438" s="28" t="s">
        <v>60</v>
      </c>
      <c r="AC438" s="28">
        <v>3</v>
      </c>
      <c r="AD438" s="28" t="s">
        <v>61</v>
      </c>
      <c r="AE438" s="28"/>
      <c r="AF438" s="28">
        <v>1</v>
      </c>
      <c r="AG438" s="28"/>
      <c r="AH438" s="28"/>
      <c r="AI438" s="28" t="s">
        <v>62</v>
      </c>
      <c r="AJ438" s="1" t="str">
        <f t="shared" si="167"/>
        <v>SYS.DCS.dcs_instance_id,dcs_cluster_redis_node.rx_controlled</v>
      </c>
      <c r="AK438" s="1"/>
      <c r="AL438" s="1"/>
    </row>
    <row r="439" spans="1:38" x14ac:dyDescent="0.25">
      <c r="A439" s="24">
        <f t="shared" si="165"/>
        <v>438</v>
      </c>
      <c r="B439" s="25" t="s">
        <v>1337</v>
      </c>
      <c r="C439" s="25" t="s">
        <v>1338</v>
      </c>
      <c r="D439" s="25" t="s">
        <v>1339</v>
      </c>
      <c r="E439" s="25" t="s">
        <v>1383</v>
      </c>
      <c r="F439" s="25" t="s">
        <v>1384</v>
      </c>
      <c r="G439" s="25" t="s">
        <v>1361</v>
      </c>
      <c r="H439" s="25" t="s">
        <v>1362</v>
      </c>
      <c r="I439" s="25" t="s">
        <v>1363</v>
      </c>
      <c r="J439" s="25" t="s">
        <v>38</v>
      </c>
      <c r="K439" s="25">
        <v>60</v>
      </c>
      <c r="L439" s="25" t="s">
        <v>39</v>
      </c>
      <c r="M439" s="25" t="s">
        <v>58</v>
      </c>
      <c r="N439" s="23" t="s">
        <v>55</v>
      </c>
      <c r="O439" s="23" t="s">
        <v>59</v>
      </c>
      <c r="P439" s="26" t="s">
        <v>60</v>
      </c>
      <c r="Q439" s="26">
        <v>3</v>
      </c>
      <c r="R439" s="26" t="s">
        <v>61</v>
      </c>
      <c r="S439" s="26">
        <v>80</v>
      </c>
      <c r="T439" s="26">
        <v>90</v>
      </c>
      <c r="U439" s="23" t="s">
        <v>58</v>
      </c>
      <c r="V439" s="23" t="s">
        <v>62</v>
      </c>
      <c r="W439" s="23"/>
      <c r="X439" s="23" t="e">
        <f>IF(COUNTIF(#REF!,_xlfn.TEXTJOIN(".",,C439,F439,H439)),"是","否")</f>
        <v>#REF!</v>
      </c>
      <c r="Y439" s="23" t="e">
        <f t="shared" si="166"/>
        <v>#REF!</v>
      </c>
      <c r="Z439" s="23"/>
      <c r="AA439" s="28" t="s">
        <v>55</v>
      </c>
      <c r="AB439" s="28" t="s">
        <v>60</v>
      </c>
      <c r="AC439" s="28">
        <v>3</v>
      </c>
      <c r="AD439" s="28" t="s">
        <v>61</v>
      </c>
      <c r="AE439" s="28">
        <v>70</v>
      </c>
      <c r="AF439" s="28">
        <v>80</v>
      </c>
      <c r="AG439" s="28"/>
      <c r="AH439" s="28" t="s">
        <v>58</v>
      </c>
      <c r="AI439" s="28" t="s">
        <v>62</v>
      </c>
      <c r="AJ439" s="1" t="str">
        <f t="shared" si="167"/>
        <v>SYS.DCS.dcs_instance_id,dcs_cluster_redis_node.bandwidth_usage</v>
      </c>
      <c r="AK439" s="1"/>
      <c r="AL439" s="1"/>
    </row>
    <row r="440" spans="1:38" x14ac:dyDescent="0.25">
      <c r="A440" s="24">
        <f t="shared" si="165"/>
        <v>439</v>
      </c>
      <c r="B440" s="25" t="s">
        <v>1337</v>
      </c>
      <c r="C440" s="25" t="s">
        <v>1338</v>
      </c>
      <c r="D440" s="25" t="s">
        <v>1339</v>
      </c>
      <c r="E440" s="25" t="s">
        <v>1383</v>
      </c>
      <c r="F440" s="25" t="s">
        <v>1384</v>
      </c>
      <c r="G440" s="25" t="s">
        <v>1364</v>
      </c>
      <c r="H440" s="25" t="s">
        <v>1365</v>
      </c>
      <c r="I440" s="25" t="s">
        <v>1366</v>
      </c>
      <c r="J440" s="25" t="s">
        <v>38</v>
      </c>
      <c r="K440" s="25">
        <v>60</v>
      </c>
      <c r="L440" s="25"/>
      <c r="M440" s="25"/>
      <c r="N440" s="23" t="s">
        <v>55</v>
      </c>
      <c r="O440" s="23" t="s">
        <v>59</v>
      </c>
      <c r="P440" s="23" t="s">
        <v>60</v>
      </c>
      <c r="Q440" s="23">
        <v>2</v>
      </c>
      <c r="R440" s="23" t="s">
        <v>136</v>
      </c>
      <c r="S440" s="23"/>
      <c r="T440" s="23">
        <v>1</v>
      </c>
      <c r="U440" s="23" t="s">
        <v>571</v>
      </c>
      <c r="V440" s="23" t="s">
        <v>62</v>
      </c>
      <c r="W440" s="23"/>
      <c r="X440" s="23" t="e">
        <f>IF(COUNTIF(#REF!,_xlfn.TEXTJOIN(".",,C440,F440,H440)),"是","否")</f>
        <v>#REF!</v>
      </c>
      <c r="Y440" s="23" t="e">
        <f t="shared" si="166"/>
        <v>#REF!</v>
      </c>
      <c r="Z440" s="23" t="s">
        <v>851</v>
      </c>
      <c r="AA440" s="23"/>
      <c r="AB440" s="23"/>
      <c r="AC440" s="23"/>
      <c r="AD440" s="23"/>
      <c r="AE440" s="23"/>
      <c r="AF440" s="23"/>
      <c r="AG440" s="23"/>
      <c r="AH440" s="23"/>
      <c r="AI440" s="23"/>
      <c r="AJ440" s="1" t="str">
        <f t="shared" si="167"/>
        <v>SYS.DCS.dcs_instance_id,dcs_cluster_redis_node.node_status</v>
      </c>
      <c r="AK440" s="1" t="s">
        <v>302</v>
      </c>
      <c r="AL440" s="1"/>
    </row>
    <row r="441" spans="1:38" x14ac:dyDescent="0.25">
      <c r="A441" s="24">
        <f t="shared" si="165"/>
        <v>440</v>
      </c>
      <c r="B441" s="25" t="s">
        <v>1337</v>
      </c>
      <c r="C441" s="25" t="s">
        <v>1338</v>
      </c>
      <c r="D441" s="25" t="s">
        <v>1339</v>
      </c>
      <c r="E441" s="25" t="s">
        <v>1383</v>
      </c>
      <c r="F441" s="25" t="s">
        <v>1384</v>
      </c>
      <c r="G441" s="25" t="s">
        <v>1367</v>
      </c>
      <c r="H441" s="25" t="s">
        <v>1368</v>
      </c>
      <c r="I441" s="22" t="s">
        <v>1369</v>
      </c>
      <c r="J441" s="22" t="s">
        <v>38</v>
      </c>
      <c r="K441" s="22">
        <v>5</v>
      </c>
      <c r="L441" s="22" t="s">
        <v>45</v>
      </c>
      <c r="M441" s="22" t="s">
        <v>1370</v>
      </c>
      <c r="N441" s="23" t="s">
        <v>55</v>
      </c>
      <c r="O441" s="23" t="s">
        <v>59</v>
      </c>
      <c r="P441" s="23" t="s">
        <v>60</v>
      </c>
      <c r="Q441" s="23">
        <v>1</v>
      </c>
      <c r="R441" s="23" t="s">
        <v>61</v>
      </c>
      <c r="S441" s="23">
        <v>200</v>
      </c>
      <c r="T441" s="23">
        <v>1000</v>
      </c>
      <c r="U441" s="3" t="s">
        <v>44</v>
      </c>
      <c r="V441" s="23" t="s">
        <v>276</v>
      </c>
      <c r="W441" s="23"/>
      <c r="X441" s="23" t="e">
        <f>IF(COUNTIF(#REF!,_xlfn.TEXTJOIN(".",,C441,F441,H441)),"是","否")</f>
        <v>#REF!</v>
      </c>
      <c r="Y441" s="23" t="e">
        <f t="shared" si="166"/>
        <v>#REF!</v>
      </c>
      <c r="Z441" s="23"/>
      <c r="AA441" s="28" t="s">
        <v>55</v>
      </c>
      <c r="AB441" s="28" t="s">
        <v>60</v>
      </c>
      <c r="AC441" s="28">
        <v>1</v>
      </c>
      <c r="AD441" s="28" t="s">
        <v>61</v>
      </c>
      <c r="AE441" s="28"/>
      <c r="AF441" s="28">
        <v>900</v>
      </c>
      <c r="AG441" s="28" t="s">
        <v>257</v>
      </c>
      <c r="AH441" s="28" t="s">
        <v>44</v>
      </c>
      <c r="AI441" s="28" t="s">
        <v>62</v>
      </c>
      <c r="AJ441" s="1" t="str">
        <f t="shared" si="167"/>
        <v>SYS.DCS.dcs_instance_id,dcs_cluster_redis_node.command_max_rt</v>
      </c>
      <c r="AK441" s="1"/>
      <c r="AL441" s="1"/>
    </row>
    <row r="442" spans="1:38" x14ac:dyDescent="0.25">
      <c r="A442" s="24">
        <f t="shared" si="165"/>
        <v>441</v>
      </c>
      <c r="B442" s="25" t="s">
        <v>1337</v>
      </c>
      <c r="C442" s="25" t="s">
        <v>1338</v>
      </c>
      <c r="D442" s="25" t="s">
        <v>1339</v>
      </c>
      <c r="E442" s="25" t="s">
        <v>1383</v>
      </c>
      <c r="F442" s="25" t="s">
        <v>1384</v>
      </c>
      <c r="G442" s="25" t="s">
        <v>138</v>
      </c>
      <c r="H442" s="25" t="s">
        <v>1371</v>
      </c>
      <c r="I442" s="22" t="s">
        <v>1372</v>
      </c>
      <c r="J442" s="22" t="s">
        <v>38</v>
      </c>
      <c r="K442" s="22">
        <v>5</v>
      </c>
      <c r="L442" s="22" t="s">
        <v>45</v>
      </c>
      <c r="M442" s="22" t="s">
        <v>1370</v>
      </c>
      <c r="N442" s="23" t="s">
        <v>55</v>
      </c>
      <c r="O442" s="23" t="s">
        <v>59</v>
      </c>
      <c r="P442" s="23" t="s">
        <v>60</v>
      </c>
      <c r="Q442" s="23">
        <v>1</v>
      </c>
      <c r="R442" s="23" t="s">
        <v>61</v>
      </c>
      <c r="S442" s="23"/>
      <c r="T442" s="23">
        <v>20</v>
      </c>
      <c r="U442" s="3" t="s">
        <v>44</v>
      </c>
      <c r="V442" s="23" t="s">
        <v>62</v>
      </c>
      <c r="W442" s="23"/>
      <c r="X442" s="23" t="e">
        <f>IF(COUNTIF(#REF!,_xlfn.TEXTJOIN(".",,C442,F442,H442)),"是","否")</f>
        <v>#REF!</v>
      </c>
      <c r="Y442" s="23" t="e">
        <f t="shared" si="166"/>
        <v>#REF!</v>
      </c>
      <c r="Z442" s="23"/>
      <c r="AA442" s="28" t="s">
        <v>55</v>
      </c>
      <c r="AB442" s="28" t="s">
        <v>60</v>
      </c>
      <c r="AC442" s="28">
        <v>1</v>
      </c>
      <c r="AD442" s="28" t="s">
        <v>61</v>
      </c>
      <c r="AE442" s="28"/>
      <c r="AF442" s="28">
        <v>150</v>
      </c>
      <c r="AG442" s="28" t="s">
        <v>257</v>
      </c>
      <c r="AH442" s="28" t="s">
        <v>44</v>
      </c>
      <c r="AI442" s="28" t="s">
        <v>62</v>
      </c>
      <c r="AJ442" s="1" t="str">
        <f t="shared" si="167"/>
        <v>SYS.DCS.dcs_instance_id,dcs_cluster_redis_node.command_avg_rt</v>
      </c>
      <c r="AK442" s="1"/>
      <c r="AL442" s="1"/>
    </row>
    <row r="443" spans="1:38" x14ac:dyDescent="0.25">
      <c r="A443" s="24">
        <f t="shared" si="165"/>
        <v>442</v>
      </c>
      <c r="B443" s="25" t="s">
        <v>1337</v>
      </c>
      <c r="C443" s="25" t="s">
        <v>1338</v>
      </c>
      <c r="D443" s="25" t="s">
        <v>1339</v>
      </c>
      <c r="E443" s="25" t="s">
        <v>1383</v>
      </c>
      <c r="F443" s="25" t="s">
        <v>1384</v>
      </c>
      <c r="G443" s="25" t="s">
        <v>174</v>
      </c>
      <c r="H443" s="25" t="s">
        <v>636</v>
      </c>
      <c r="I443" s="25" t="s">
        <v>1379</v>
      </c>
      <c r="J443" s="25" t="s">
        <v>38</v>
      </c>
      <c r="K443" s="25">
        <v>60</v>
      </c>
      <c r="L443" s="25" t="s">
        <v>39</v>
      </c>
      <c r="M443" s="25" t="s">
        <v>58</v>
      </c>
      <c r="N443" s="23" t="s">
        <v>55</v>
      </c>
      <c r="O443" s="23" t="s">
        <v>59</v>
      </c>
      <c r="P443" s="23" t="s">
        <v>60</v>
      </c>
      <c r="Q443" s="23">
        <v>2</v>
      </c>
      <c r="R443" s="23" t="s">
        <v>61</v>
      </c>
      <c r="S443" s="23">
        <v>80</v>
      </c>
      <c r="T443" s="23">
        <v>90</v>
      </c>
      <c r="U443" s="23" t="s">
        <v>58</v>
      </c>
      <c r="V443" s="23" t="s">
        <v>62</v>
      </c>
      <c r="W443" s="23"/>
      <c r="X443" s="23" t="e">
        <f>IF(COUNTIF(#REF!,_xlfn.TEXTJOIN(".",,C443,F443,H443)),"是","否")</f>
        <v>#REF!</v>
      </c>
      <c r="Y443" s="23" t="e">
        <f t="shared" si="166"/>
        <v>#REF!</v>
      </c>
      <c r="Z443" s="23"/>
      <c r="AA443" s="28" t="s">
        <v>55</v>
      </c>
      <c r="AB443" s="28" t="s">
        <v>60</v>
      </c>
      <c r="AC443" s="28">
        <v>2</v>
      </c>
      <c r="AD443" s="28" t="s">
        <v>61</v>
      </c>
      <c r="AE443" s="28">
        <v>70</v>
      </c>
      <c r="AF443" s="28">
        <v>80</v>
      </c>
      <c r="AG443" s="28"/>
      <c r="AH443" s="28" t="s">
        <v>58</v>
      </c>
      <c r="AI443" s="28" t="s">
        <v>62</v>
      </c>
      <c r="AJ443" s="1" t="str">
        <f t="shared" si="167"/>
        <v>SYS.DCS.dcs_instance_id,dcs_cluster_redis_node.connections_usage</v>
      </c>
      <c r="AK443" s="1"/>
      <c r="AL443" s="1"/>
    </row>
    <row r="444" spans="1:38" x14ac:dyDescent="0.25">
      <c r="A444" s="24">
        <f t="shared" si="165"/>
        <v>443</v>
      </c>
      <c r="B444" s="25" t="s">
        <v>1337</v>
      </c>
      <c r="C444" s="25" t="s">
        <v>1338</v>
      </c>
      <c r="D444" s="25" t="s">
        <v>1339</v>
      </c>
      <c r="E444" s="25" t="s">
        <v>1383</v>
      </c>
      <c r="F444" s="25" t="s">
        <v>1384</v>
      </c>
      <c r="G444" s="25" t="s">
        <v>1373</v>
      </c>
      <c r="H444" s="25" t="s">
        <v>1374</v>
      </c>
      <c r="I444" s="25" t="s">
        <v>1375</v>
      </c>
      <c r="J444" s="25" t="s">
        <v>38</v>
      </c>
      <c r="K444" s="25">
        <v>60</v>
      </c>
      <c r="L444" s="25" t="s">
        <v>39</v>
      </c>
      <c r="M444" s="25" t="s">
        <v>58</v>
      </c>
      <c r="N444" s="23" t="s">
        <v>55</v>
      </c>
      <c r="O444" s="23" t="s">
        <v>59</v>
      </c>
      <c r="P444" s="26" t="s">
        <v>60</v>
      </c>
      <c r="Q444" s="26">
        <v>2</v>
      </c>
      <c r="R444" s="26" t="s">
        <v>61</v>
      </c>
      <c r="S444" s="26">
        <v>70</v>
      </c>
      <c r="T444" s="26">
        <v>80</v>
      </c>
      <c r="U444" s="23" t="s">
        <v>58</v>
      </c>
      <c r="V444" s="23" t="s">
        <v>62</v>
      </c>
      <c r="W444" s="23"/>
      <c r="X444" s="23" t="e">
        <f>IF(COUNTIF(#REF!,_xlfn.TEXTJOIN(".",,C444,F444,H444)),"是","否")</f>
        <v>#REF!</v>
      </c>
      <c r="Y444" s="23" t="e">
        <f t="shared" si="166"/>
        <v>#REF!</v>
      </c>
      <c r="Z444" s="23"/>
      <c r="AA444" s="23"/>
      <c r="AB444" s="23"/>
      <c r="AC444" s="23"/>
      <c r="AD444" s="23"/>
      <c r="AE444" s="23"/>
      <c r="AF444" s="23"/>
      <c r="AG444" s="23"/>
      <c r="AH444" s="23"/>
      <c r="AI444" s="23"/>
      <c r="AJ444" s="1" t="str">
        <f t="shared" si="167"/>
        <v>SYS.DCS.dcs_instance_id,dcs_cluster_redis_node.cpu_avg_usage</v>
      </c>
      <c r="AK444" s="1"/>
      <c r="AL444" s="1"/>
    </row>
    <row r="445" spans="1:38" x14ac:dyDescent="0.25">
      <c r="A445" s="24">
        <f t="shared" si="165"/>
        <v>444</v>
      </c>
      <c r="B445" s="25" t="s">
        <v>1337</v>
      </c>
      <c r="C445" s="25" t="s">
        <v>1338</v>
      </c>
      <c r="D445" s="25" t="s">
        <v>1339</v>
      </c>
      <c r="E445" s="25" t="s">
        <v>1385</v>
      </c>
      <c r="F445" s="25" t="s">
        <v>1386</v>
      </c>
      <c r="G445" s="25" t="s">
        <v>204</v>
      </c>
      <c r="H445" s="25" t="s">
        <v>685</v>
      </c>
      <c r="I445" s="25" t="s">
        <v>489</v>
      </c>
      <c r="J445" s="25" t="s">
        <v>38</v>
      </c>
      <c r="K445" s="25">
        <v>60</v>
      </c>
      <c r="L445" s="25"/>
      <c r="M445" s="25" t="s">
        <v>58</v>
      </c>
      <c r="N445" s="23" t="s">
        <v>55</v>
      </c>
      <c r="O445" s="23" t="s">
        <v>59</v>
      </c>
      <c r="P445" s="23" t="s">
        <v>60</v>
      </c>
      <c r="Q445" s="23">
        <v>2</v>
      </c>
      <c r="R445" s="23" t="s">
        <v>61</v>
      </c>
      <c r="S445" s="23">
        <v>70</v>
      </c>
      <c r="T445" s="23">
        <v>80</v>
      </c>
      <c r="U445" s="23" t="s">
        <v>58</v>
      </c>
      <c r="V445" s="23" t="s">
        <v>62</v>
      </c>
      <c r="W445" s="23"/>
      <c r="X445" s="23" t="e">
        <f>IF(COUNTIF(#REF!,_xlfn.TEXTJOIN(".",,C445,F445,H445)),"是","否")</f>
        <v>#REF!</v>
      </c>
      <c r="Y445" s="23" t="e">
        <f t="shared" si="166"/>
        <v>#REF!</v>
      </c>
      <c r="Z445" s="23" t="s">
        <v>55</v>
      </c>
      <c r="AA445" s="27" t="s">
        <v>55</v>
      </c>
      <c r="AB445" s="27" t="s">
        <v>60</v>
      </c>
      <c r="AC445" s="27">
        <v>2</v>
      </c>
      <c r="AD445" s="27" t="s">
        <v>61</v>
      </c>
      <c r="AE445" s="27">
        <v>70</v>
      </c>
      <c r="AF445" s="27">
        <v>80</v>
      </c>
      <c r="AG445" s="27"/>
      <c r="AH445" s="27" t="s">
        <v>58</v>
      </c>
      <c r="AI445" s="27" t="s">
        <v>62</v>
      </c>
      <c r="AJ445" s="1" t="str">
        <f t="shared" si="167"/>
        <v>SYS.DCS.dcs_memcached_instance_id.memory_usage</v>
      </c>
      <c r="AK445" s="1" t="s">
        <v>152</v>
      </c>
      <c r="AL445" s="1"/>
    </row>
    <row r="446" spans="1:38" x14ac:dyDescent="0.25">
      <c r="A446" s="24">
        <f t="shared" si="165"/>
        <v>445</v>
      </c>
      <c r="B446" s="25" t="s">
        <v>1337</v>
      </c>
      <c r="C446" s="25" t="s">
        <v>1338</v>
      </c>
      <c r="D446" s="25" t="s">
        <v>1339</v>
      </c>
      <c r="E446" s="25" t="s">
        <v>1385</v>
      </c>
      <c r="F446" s="25" t="s">
        <v>1386</v>
      </c>
      <c r="G446" s="25" t="s">
        <v>1345</v>
      </c>
      <c r="H446" s="25" t="s">
        <v>1387</v>
      </c>
      <c r="I446" s="25" t="s">
        <v>1346</v>
      </c>
      <c r="J446" s="25" t="s">
        <v>38</v>
      </c>
      <c r="K446" s="25">
        <v>60</v>
      </c>
      <c r="L446" s="25"/>
      <c r="M446" s="25"/>
      <c r="N446" s="23" t="s">
        <v>55</v>
      </c>
      <c r="O446" s="23" t="s">
        <v>59</v>
      </c>
      <c r="P446" s="23" t="s">
        <v>60</v>
      </c>
      <c r="Q446" s="23">
        <v>2</v>
      </c>
      <c r="R446" s="23" t="s">
        <v>61</v>
      </c>
      <c r="S446" s="23">
        <v>8000</v>
      </c>
      <c r="T446" s="23">
        <v>9000</v>
      </c>
      <c r="U446" s="23" t="s">
        <v>172</v>
      </c>
      <c r="V446" s="23" t="s">
        <v>62</v>
      </c>
      <c r="W446" s="23"/>
      <c r="X446" s="23" t="e">
        <f>IF(COUNTIF(#REF!,_xlfn.TEXTJOIN(".",,C446,F446,H446)),"是","否")</f>
        <v>#REF!</v>
      </c>
      <c r="Y446" s="23" t="e">
        <f t="shared" si="166"/>
        <v>#REF!</v>
      </c>
      <c r="Z446" s="23"/>
      <c r="AA446" s="23"/>
      <c r="AB446" s="23"/>
      <c r="AC446" s="23"/>
      <c r="AD446" s="23"/>
      <c r="AE446" s="23"/>
      <c r="AF446" s="23"/>
      <c r="AG446" s="23"/>
      <c r="AH446" s="23"/>
      <c r="AI446" s="23"/>
      <c r="AJ446" s="1" t="str">
        <f t="shared" si="167"/>
        <v>SYS.DCS.dcs_memcached_instance_id.mc_connected_clients</v>
      </c>
      <c r="AK446" s="1"/>
      <c r="AL446" s="1"/>
    </row>
    <row r="447" spans="1:38" x14ac:dyDescent="0.25">
      <c r="A447" s="24">
        <f t="shared" si="165"/>
        <v>446</v>
      </c>
      <c r="B447" s="25" t="s">
        <v>1337</v>
      </c>
      <c r="C447" s="25" t="s">
        <v>1338</v>
      </c>
      <c r="D447" s="25" t="s">
        <v>1339</v>
      </c>
      <c r="E447" s="25" t="s">
        <v>1385</v>
      </c>
      <c r="F447" s="25" t="s">
        <v>1386</v>
      </c>
      <c r="G447" s="25" t="s">
        <v>201</v>
      </c>
      <c r="H447" s="25" t="s">
        <v>85</v>
      </c>
      <c r="I447" s="25" t="s">
        <v>487</v>
      </c>
      <c r="J447" s="25" t="s">
        <v>38</v>
      </c>
      <c r="K447" s="25">
        <v>60</v>
      </c>
      <c r="L447" s="25"/>
      <c r="M447" s="25" t="s">
        <v>58</v>
      </c>
      <c r="N447" s="23" t="s">
        <v>55</v>
      </c>
      <c r="O447" s="23" t="s">
        <v>59</v>
      </c>
      <c r="P447" s="23" t="s">
        <v>60</v>
      </c>
      <c r="Q447" s="23">
        <v>2</v>
      </c>
      <c r="R447" s="23" t="s">
        <v>61</v>
      </c>
      <c r="S447" s="23">
        <v>70</v>
      </c>
      <c r="T447" s="23">
        <v>80</v>
      </c>
      <c r="U447" s="23" t="s">
        <v>58</v>
      </c>
      <c r="V447" s="23" t="s">
        <v>62</v>
      </c>
      <c r="W447" s="23"/>
      <c r="X447" s="23" t="e">
        <f>IF(COUNTIF(#REF!,_xlfn.TEXTJOIN(".",,C447,F447,H447)),"是","否")</f>
        <v>#REF!</v>
      </c>
      <c r="Y447" s="23" t="e">
        <f t="shared" si="166"/>
        <v>#REF!</v>
      </c>
      <c r="Z447" s="23" t="s">
        <v>55</v>
      </c>
      <c r="AA447" s="27" t="s">
        <v>55</v>
      </c>
      <c r="AB447" s="27" t="s">
        <v>60</v>
      </c>
      <c r="AC447" s="27">
        <v>2</v>
      </c>
      <c r="AD447" s="27" t="s">
        <v>61</v>
      </c>
      <c r="AE447" s="27">
        <v>70</v>
      </c>
      <c r="AF447" s="27">
        <v>80</v>
      </c>
      <c r="AG447" s="27"/>
      <c r="AH447" s="27" t="s">
        <v>58</v>
      </c>
      <c r="AI447" s="27" t="s">
        <v>62</v>
      </c>
      <c r="AJ447" s="1" t="str">
        <f t="shared" si="167"/>
        <v>SYS.DCS.dcs_memcached_instance_id.cpu_usage</v>
      </c>
      <c r="AK447" s="1" t="s">
        <v>152</v>
      </c>
      <c r="AL447" s="1"/>
    </row>
    <row r="448" spans="1:38" x14ac:dyDescent="0.25">
      <c r="A448" s="24">
        <f t="shared" si="165"/>
        <v>447</v>
      </c>
      <c r="B448" s="25" t="s">
        <v>1337</v>
      </c>
      <c r="C448" s="25" t="s">
        <v>1338</v>
      </c>
      <c r="D448" s="25" t="s">
        <v>1339</v>
      </c>
      <c r="E448" s="25" t="s">
        <v>1385</v>
      </c>
      <c r="F448" s="25" t="s">
        <v>1386</v>
      </c>
      <c r="G448" s="25" t="s">
        <v>265</v>
      </c>
      <c r="H448" s="25" t="s">
        <v>1388</v>
      </c>
      <c r="I448" s="22" t="s">
        <v>1350</v>
      </c>
      <c r="J448" s="22" t="s">
        <v>38</v>
      </c>
      <c r="K448" s="22">
        <v>60</v>
      </c>
      <c r="L448" s="22"/>
      <c r="M448" s="22"/>
      <c r="N448" s="23" t="s">
        <v>55</v>
      </c>
      <c r="O448" s="23" t="s">
        <v>59</v>
      </c>
      <c r="P448" s="23" t="s">
        <v>60</v>
      </c>
      <c r="Q448" s="23">
        <v>2</v>
      </c>
      <c r="R448" s="23" t="s">
        <v>61</v>
      </c>
      <c r="S448" s="23"/>
      <c r="T448" s="23">
        <v>1000</v>
      </c>
      <c r="U448" s="22"/>
      <c r="V448" s="23" t="s">
        <v>276</v>
      </c>
      <c r="W448" s="23"/>
      <c r="X448" s="23" t="e">
        <f>IF(COUNTIF(#REF!,_xlfn.TEXTJOIN(".",,C448,F448,H448)),"是","否")</f>
        <v>#REF!</v>
      </c>
      <c r="Y448" s="23" t="e">
        <f t="shared" si="166"/>
        <v>#REF!</v>
      </c>
      <c r="Z448" s="23"/>
      <c r="AA448" s="23"/>
      <c r="AB448" s="23"/>
      <c r="AC448" s="23"/>
      <c r="AD448" s="23"/>
      <c r="AE448" s="23"/>
      <c r="AF448" s="23"/>
      <c r="AG448" s="23"/>
      <c r="AH448" s="23"/>
      <c r="AI448" s="23"/>
      <c r="AJ448" s="1" t="str">
        <f t="shared" si="167"/>
        <v>SYS.DCS.dcs_memcached_instance_id.mc_connections_received</v>
      </c>
      <c r="AK448" s="1"/>
      <c r="AL448" s="1"/>
    </row>
    <row r="449" spans="1:38" x14ac:dyDescent="0.25">
      <c r="A449" s="24">
        <f t="shared" ref="A449:A452" si="168">ROW()-1</f>
        <v>448</v>
      </c>
      <c r="B449" s="25" t="s">
        <v>1337</v>
      </c>
      <c r="C449" s="25" t="s">
        <v>1338</v>
      </c>
      <c r="D449" s="25" t="s">
        <v>1339</v>
      </c>
      <c r="E449" s="25" t="s">
        <v>1385</v>
      </c>
      <c r="F449" s="25" t="s">
        <v>1386</v>
      </c>
      <c r="G449" s="25" t="s">
        <v>1354</v>
      </c>
      <c r="H449" s="25" t="s">
        <v>1389</v>
      </c>
      <c r="I449" s="25" t="s">
        <v>1356</v>
      </c>
      <c r="J449" s="25" t="s">
        <v>38</v>
      </c>
      <c r="K449" s="25">
        <v>60</v>
      </c>
      <c r="L449" s="25"/>
      <c r="M449" s="25"/>
      <c r="N449" s="23" t="s">
        <v>55</v>
      </c>
      <c r="O449" s="23" t="s">
        <v>59</v>
      </c>
      <c r="P449" s="23" t="s">
        <v>60</v>
      </c>
      <c r="Q449" s="23">
        <v>1</v>
      </c>
      <c r="R449" s="34" t="s">
        <v>240</v>
      </c>
      <c r="S449" s="26">
        <v>1</v>
      </c>
      <c r="T449" s="23"/>
      <c r="U449" s="23" t="s">
        <v>571</v>
      </c>
      <c r="V449" s="23" t="s">
        <v>62</v>
      </c>
      <c r="W449" s="23"/>
      <c r="X449" s="23" t="e">
        <f>IF(COUNTIF(#REF!,_xlfn.TEXTJOIN(".",,C449,F449,H449)),"是","否")</f>
        <v>#REF!</v>
      </c>
      <c r="Y449" s="23" t="e">
        <f t="shared" ref="Y449:Y452" si="169">IF(AND(O449="底线指标",X449="是"),"是","否")</f>
        <v>#REF!</v>
      </c>
      <c r="Z449" s="23" t="s">
        <v>55</v>
      </c>
      <c r="AA449" s="27" t="s">
        <v>55</v>
      </c>
      <c r="AB449" s="27" t="s">
        <v>60</v>
      </c>
      <c r="AC449" s="27">
        <v>1</v>
      </c>
      <c r="AD449" s="27" t="s">
        <v>61</v>
      </c>
      <c r="AE449" s="27">
        <v>0</v>
      </c>
      <c r="AF449" s="27"/>
      <c r="AG449" s="27"/>
      <c r="AH449" s="27"/>
      <c r="AI449" s="27" t="s">
        <v>62</v>
      </c>
      <c r="AJ449" s="1" t="str">
        <f t="shared" ref="AJ449:AJ452" si="170">_xlfn.TEXTJOIN(".",TRUE,C449,F449,H449)</f>
        <v>SYS.DCS.dcs_memcached_instance_id.mc_is_slow_log_exist</v>
      </c>
      <c r="AK449" s="1" t="s">
        <v>302</v>
      </c>
      <c r="AL449" s="1"/>
    </row>
    <row r="450" spans="1:38" x14ac:dyDescent="0.25">
      <c r="A450" s="24">
        <f t="shared" si="168"/>
        <v>449</v>
      </c>
      <c r="B450" s="25" t="s">
        <v>1337</v>
      </c>
      <c r="C450" s="25" t="s">
        <v>1338</v>
      </c>
      <c r="D450" s="25" t="s">
        <v>1339</v>
      </c>
      <c r="E450" s="25" t="s">
        <v>1385</v>
      </c>
      <c r="F450" s="25" t="s">
        <v>1386</v>
      </c>
      <c r="G450" s="25" t="s">
        <v>1357</v>
      </c>
      <c r="H450" s="25" t="s">
        <v>1390</v>
      </c>
      <c r="I450" s="22" t="s">
        <v>1391</v>
      </c>
      <c r="J450" s="22" t="s">
        <v>38</v>
      </c>
      <c r="K450" s="22">
        <v>60</v>
      </c>
      <c r="L450" s="22"/>
      <c r="M450" s="22"/>
      <c r="N450" s="23" t="s">
        <v>55</v>
      </c>
      <c r="O450" s="23" t="s">
        <v>59</v>
      </c>
      <c r="P450" s="23" t="s">
        <v>60</v>
      </c>
      <c r="Q450" s="23">
        <v>1</v>
      </c>
      <c r="R450" s="23" t="s">
        <v>61</v>
      </c>
      <c r="S450" s="23"/>
      <c r="T450" s="23">
        <v>0</v>
      </c>
      <c r="U450" s="22"/>
      <c r="V450" s="23" t="s">
        <v>276</v>
      </c>
      <c r="W450" s="23"/>
      <c r="X450" s="23" t="e">
        <f>IF(COUNTIF(#REF!,_xlfn.TEXTJOIN(".",,C450,F450,H450)),"是","否")</f>
        <v>#REF!</v>
      </c>
      <c r="Y450" s="23" t="e">
        <f t="shared" si="169"/>
        <v>#REF!</v>
      </c>
      <c r="Z450" s="23"/>
      <c r="AA450" s="28" t="s">
        <v>55</v>
      </c>
      <c r="AB450" s="28" t="s">
        <v>60</v>
      </c>
      <c r="AC450" s="28">
        <v>1</v>
      </c>
      <c r="AD450" s="28" t="s">
        <v>61</v>
      </c>
      <c r="AE450" s="28"/>
      <c r="AF450" s="28">
        <v>0</v>
      </c>
      <c r="AG450" s="28"/>
      <c r="AH450" s="28"/>
      <c r="AI450" s="28" t="s">
        <v>62</v>
      </c>
      <c r="AJ450" s="1" t="str">
        <f t="shared" si="170"/>
        <v>SYS.DCS.dcs_memcached_instance_id.mc_auth_errors</v>
      </c>
      <c r="AK450" s="1"/>
      <c r="AL450" s="1"/>
    </row>
    <row r="451" spans="1:38" hidden="1" x14ac:dyDescent="0.25">
      <c r="A451" s="24">
        <f t="shared" si="168"/>
        <v>450</v>
      </c>
      <c r="B451" s="25" t="s">
        <v>1392</v>
      </c>
      <c r="C451" s="25" t="s">
        <v>1393</v>
      </c>
      <c r="D451" s="25" t="s">
        <v>1394</v>
      </c>
      <c r="E451" s="25" t="s">
        <v>1395</v>
      </c>
      <c r="F451" s="25" t="s">
        <v>462</v>
      </c>
      <c r="G451" s="25" t="s">
        <v>1396</v>
      </c>
      <c r="H451" s="25" t="s">
        <v>1397</v>
      </c>
      <c r="I451" s="25" t="s">
        <v>1398</v>
      </c>
      <c r="J451" s="25" t="s">
        <v>38</v>
      </c>
      <c r="K451" s="25">
        <v>60</v>
      </c>
      <c r="L451" s="25" t="s">
        <v>39</v>
      </c>
      <c r="M451" s="25"/>
      <c r="N451" s="23" t="s">
        <v>55</v>
      </c>
      <c r="O451" s="23" t="s">
        <v>59</v>
      </c>
      <c r="P451" s="26" t="s">
        <v>60</v>
      </c>
      <c r="Q451" s="26">
        <v>1</v>
      </c>
      <c r="R451" s="26" t="s">
        <v>136</v>
      </c>
      <c r="S451" s="26">
        <v>1</v>
      </c>
      <c r="T451" s="26">
        <v>0</v>
      </c>
      <c r="U451" s="22"/>
      <c r="V451" s="23" t="s">
        <v>151</v>
      </c>
      <c r="W451" s="23"/>
      <c r="X451" s="23" t="e">
        <f>IF(COUNTIF(#REF!,_xlfn.TEXTJOIN(".",,C451,F451,H451)),"是","否")</f>
        <v>#REF!</v>
      </c>
      <c r="Y451" s="23" t="e">
        <f t="shared" si="169"/>
        <v>#REF!</v>
      </c>
      <c r="Z451" s="23"/>
      <c r="AA451" s="23"/>
      <c r="AB451" s="23"/>
      <c r="AC451" s="23"/>
      <c r="AD451" s="23"/>
      <c r="AE451" s="23"/>
      <c r="AF451" s="23"/>
      <c r="AG451" s="23"/>
      <c r="AH451" s="23"/>
      <c r="AI451" s="23"/>
      <c r="AJ451" s="1" t="str">
        <f t="shared" si="170"/>
        <v>SYS.IES.site_id.connect_status</v>
      </c>
      <c r="AK451" s="1"/>
      <c r="AL451" s="1"/>
    </row>
    <row r="452" spans="1:38" hidden="1" x14ac:dyDescent="0.25">
      <c r="A452" s="24">
        <f t="shared" si="168"/>
        <v>451</v>
      </c>
      <c r="B452" s="25" t="s">
        <v>1399</v>
      </c>
      <c r="C452" s="25" t="s">
        <v>1400</v>
      </c>
      <c r="D452" s="25" t="s">
        <v>1401</v>
      </c>
      <c r="E452" s="25" t="s">
        <v>382</v>
      </c>
      <c r="F452" s="25" t="s">
        <v>383</v>
      </c>
      <c r="G452" s="25" t="s">
        <v>400</v>
      </c>
      <c r="H452" s="25" t="s">
        <v>401</v>
      </c>
      <c r="I452" s="25" t="s">
        <v>1402</v>
      </c>
      <c r="J452" s="25" t="s">
        <v>38</v>
      </c>
      <c r="K452" s="25">
        <v>60</v>
      </c>
      <c r="L452" s="25" t="s">
        <v>177</v>
      </c>
      <c r="M452" s="25" t="s">
        <v>172</v>
      </c>
      <c r="N452" s="23" t="s">
        <v>55</v>
      </c>
      <c r="O452" s="23" t="s">
        <v>59</v>
      </c>
      <c r="P452" s="23" t="s">
        <v>60</v>
      </c>
      <c r="Q452" s="23">
        <v>2</v>
      </c>
      <c r="R452" s="23" t="s">
        <v>334</v>
      </c>
      <c r="S452" s="23">
        <v>50</v>
      </c>
      <c r="T452" s="23">
        <v>80</v>
      </c>
      <c r="U452" s="23" t="s">
        <v>58</v>
      </c>
      <c r="V452" s="23" t="s">
        <v>62</v>
      </c>
      <c r="W452" s="23"/>
      <c r="X452" s="23" t="e">
        <f>IF(COUNTIF(#REF!,_xlfn.TEXTJOIN(".",,C452,F452,H452)),"是","否")</f>
        <v>#REF!</v>
      </c>
      <c r="Y452" s="23" t="e">
        <f t="shared" si="169"/>
        <v>#REF!</v>
      </c>
      <c r="Z452" s="23"/>
      <c r="AA452" s="23"/>
      <c r="AB452" s="23"/>
      <c r="AC452" s="23"/>
      <c r="AD452" s="23"/>
      <c r="AE452" s="23"/>
      <c r="AF452" s="23"/>
      <c r="AG452" s="23"/>
      <c r="AH452" s="23"/>
      <c r="AI452" s="23"/>
      <c r="AJ452" s="1" t="str">
        <f t="shared" si="170"/>
        <v>SYS.VOD.domain_name.http_code_5xx</v>
      </c>
      <c r="AK452" s="1"/>
      <c r="AL452" s="1"/>
    </row>
    <row r="453" spans="1:38" hidden="1" x14ac:dyDescent="0.25">
      <c r="A453" s="24">
        <f t="shared" ref="A453:A454" si="171">ROW()-1</f>
        <v>452</v>
      </c>
      <c r="B453" s="25" t="s">
        <v>1403</v>
      </c>
      <c r="C453" s="25" t="s">
        <v>1404</v>
      </c>
      <c r="D453" s="25" t="s">
        <v>1405</v>
      </c>
      <c r="E453" s="25" t="s">
        <v>382</v>
      </c>
      <c r="F453" s="25" t="s">
        <v>1406</v>
      </c>
      <c r="G453" s="25" t="s">
        <v>1407</v>
      </c>
      <c r="H453" s="25" t="s">
        <v>1408</v>
      </c>
      <c r="I453" s="25" t="s">
        <v>1409</v>
      </c>
      <c r="J453" s="25" t="s">
        <v>38</v>
      </c>
      <c r="K453" s="25">
        <v>60</v>
      </c>
      <c r="L453" s="25" t="s">
        <v>39</v>
      </c>
      <c r="M453" s="25" t="s">
        <v>58</v>
      </c>
      <c r="N453" s="23" t="s">
        <v>55</v>
      </c>
      <c r="O453" s="23" t="s">
        <v>59</v>
      </c>
      <c r="P453" s="23" t="s">
        <v>60</v>
      </c>
      <c r="Q453" s="23">
        <v>1</v>
      </c>
      <c r="R453" s="23" t="s">
        <v>61</v>
      </c>
      <c r="S453" s="23">
        <v>0</v>
      </c>
      <c r="T453" s="23">
        <v>1</v>
      </c>
      <c r="U453" s="23" t="s">
        <v>58</v>
      </c>
      <c r="V453" s="23" t="s">
        <v>62</v>
      </c>
      <c r="W453" s="23"/>
      <c r="X453" s="23" t="e">
        <f>IF(COUNTIF(#REF!,_xlfn.TEXTJOIN(".",,C453,F453,H453)),"是","否")</f>
        <v>#REF!</v>
      </c>
      <c r="Y453" s="23" t="e">
        <f t="shared" ref="Y453:Y454" si="172">IF(AND(O453="底线指标",X453="是"),"是","否")</f>
        <v>#REF!</v>
      </c>
      <c r="Z453" s="23"/>
      <c r="AA453" s="23"/>
      <c r="AB453" s="23"/>
      <c r="AC453" s="23"/>
      <c r="AD453" s="23"/>
      <c r="AE453" s="23"/>
      <c r="AF453" s="23"/>
      <c r="AG453" s="23"/>
      <c r="AH453" s="23"/>
      <c r="AI453" s="23"/>
      <c r="AJ453" s="1" t="str">
        <f t="shared" ref="AJ453:AJ454" si="173">_xlfn.TEXTJOIN(".",TRUE,C453,F453,H453)</f>
        <v>SYS.LIVE.domain.http_5xx_proportion</v>
      </c>
      <c r="AK453" s="1" t="s">
        <v>302</v>
      </c>
      <c r="AL453" s="1"/>
    </row>
    <row r="454" spans="1:38" hidden="1" x14ac:dyDescent="0.25">
      <c r="A454" s="24">
        <f t="shared" si="171"/>
        <v>453</v>
      </c>
      <c r="B454" s="25" t="s">
        <v>1403</v>
      </c>
      <c r="C454" s="25" t="s">
        <v>1404</v>
      </c>
      <c r="D454" s="25" t="s">
        <v>1405</v>
      </c>
      <c r="E454" s="25" t="s">
        <v>1410</v>
      </c>
      <c r="F454" s="25" t="s">
        <v>1411</v>
      </c>
      <c r="G454" s="25" t="s">
        <v>1407</v>
      </c>
      <c r="H454" s="25" t="s">
        <v>1412</v>
      </c>
      <c r="I454" s="25" t="s">
        <v>1413</v>
      </c>
      <c r="J454" s="25" t="s">
        <v>38</v>
      </c>
      <c r="K454" s="25">
        <v>60</v>
      </c>
      <c r="L454" s="25" t="s">
        <v>39</v>
      </c>
      <c r="M454" s="25" t="s">
        <v>58</v>
      </c>
      <c r="N454" s="23" t="s">
        <v>55</v>
      </c>
      <c r="O454" s="23" t="s">
        <v>59</v>
      </c>
      <c r="P454" s="23" t="s">
        <v>60</v>
      </c>
      <c r="Q454" s="23">
        <v>1</v>
      </c>
      <c r="R454" s="23" t="s">
        <v>61</v>
      </c>
      <c r="S454" s="23">
        <v>0</v>
      </c>
      <c r="T454" s="23">
        <v>1</v>
      </c>
      <c r="U454" s="23" t="s">
        <v>58</v>
      </c>
      <c r="V454" s="23" t="s">
        <v>62</v>
      </c>
      <c r="W454" s="23"/>
      <c r="X454" s="23" t="e">
        <f>IF(COUNTIF(#REF!,_xlfn.TEXTJOIN(".",,C454,F454,H454)),"是","否")</f>
        <v>#REF!</v>
      </c>
      <c r="Y454" s="23" t="e">
        <f t="shared" si="172"/>
        <v>#REF!</v>
      </c>
      <c r="Z454" s="23"/>
      <c r="AA454" s="23"/>
      <c r="AB454" s="23"/>
      <c r="AC454" s="23"/>
      <c r="AD454" s="23"/>
      <c r="AE454" s="23"/>
      <c r="AF454" s="23"/>
      <c r="AG454" s="23"/>
      <c r="AH454" s="23"/>
      <c r="AI454" s="23"/>
      <c r="AJ454" s="1" t="str">
        <f t="shared" si="173"/>
        <v>SYS.LIVE.medialive_cdn.http_code_5xx_proportion</v>
      </c>
      <c r="AK454" s="1" t="s">
        <v>302</v>
      </c>
      <c r="AL454" s="1"/>
    </row>
    <row r="455" spans="1:38" hidden="1" x14ac:dyDescent="0.25">
      <c r="A455" s="24">
        <f t="shared" ref="A455:A463" si="174">ROW()-1</f>
        <v>454</v>
      </c>
      <c r="B455" s="25" t="s">
        <v>1414</v>
      </c>
      <c r="C455" s="25" t="s">
        <v>1415</v>
      </c>
      <c r="D455" s="25" t="s">
        <v>1416</v>
      </c>
      <c r="E455" s="25" t="s">
        <v>1417</v>
      </c>
      <c r="F455" s="25" t="s">
        <v>1418</v>
      </c>
      <c r="G455" s="25" t="s">
        <v>224</v>
      </c>
      <c r="H455" s="25" t="s">
        <v>1419</v>
      </c>
      <c r="I455" s="25" t="s">
        <v>225</v>
      </c>
      <c r="J455" s="25" t="s">
        <v>38</v>
      </c>
      <c r="K455" s="25">
        <v>60</v>
      </c>
      <c r="L455" s="25"/>
      <c r="M455" s="25" t="s">
        <v>226</v>
      </c>
      <c r="N455" s="23" t="s">
        <v>55</v>
      </c>
      <c r="O455" s="23" t="s">
        <v>59</v>
      </c>
      <c r="P455" s="26" t="s">
        <v>60</v>
      </c>
      <c r="Q455" s="26">
        <v>3</v>
      </c>
      <c r="R455" s="26" t="s">
        <v>240</v>
      </c>
      <c r="S455" s="26">
        <v>300</v>
      </c>
      <c r="T455" s="26">
        <v>600</v>
      </c>
      <c r="U455" s="22" t="s">
        <v>226</v>
      </c>
      <c r="V455" s="23" t="s">
        <v>62</v>
      </c>
      <c r="W455" s="23"/>
      <c r="X455" s="23" t="e">
        <f>IF(COUNTIF(#REF!,_xlfn.TEXTJOIN(".",,C455,F455,H455)),"是","否")</f>
        <v>#REF!</v>
      </c>
      <c r="Y455" s="23" t="e">
        <f t="shared" ref="Y455:Y463" si="175">IF(AND(O455="底线指标",X455="是"),"是","否")</f>
        <v>#REF!</v>
      </c>
      <c r="Z455" s="23" t="s">
        <v>55</v>
      </c>
      <c r="AA455" s="23"/>
      <c r="AB455" s="23"/>
      <c r="AC455" s="23"/>
      <c r="AD455" s="23"/>
      <c r="AE455" s="23"/>
      <c r="AF455" s="23"/>
      <c r="AG455" s="23"/>
      <c r="AH455" s="23"/>
      <c r="AI455" s="23"/>
      <c r="AJ455" s="1" t="str">
        <f t="shared" ref="AJ455:AJ463" si="176">_xlfn.TEXTJOIN(".",TRUE,C455,F455,H455)</f>
        <v>SYS.DDS.mongodb_instance_id,mongodb_node_id.mongo026_repl_lag</v>
      </c>
      <c r="AK455" s="1" t="s">
        <v>302</v>
      </c>
      <c r="AL455" s="1"/>
    </row>
    <row r="456" spans="1:38" hidden="1" x14ac:dyDescent="0.25">
      <c r="A456" s="24">
        <f t="shared" si="174"/>
        <v>455</v>
      </c>
      <c r="B456" s="25" t="s">
        <v>1414</v>
      </c>
      <c r="C456" s="25" t="s">
        <v>1415</v>
      </c>
      <c r="D456" s="25" t="s">
        <v>1416</v>
      </c>
      <c r="E456" s="25" t="s">
        <v>1417</v>
      </c>
      <c r="F456" s="25" t="s">
        <v>1418</v>
      </c>
      <c r="G456" s="25" t="s">
        <v>72</v>
      </c>
      <c r="H456" s="25" t="s">
        <v>1420</v>
      </c>
      <c r="I456" s="25" t="s">
        <v>341</v>
      </c>
      <c r="J456" s="25" t="s">
        <v>38</v>
      </c>
      <c r="K456" s="25">
        <v>60</v>
      </c>
      <c r="L456" s="25"/>
      <c r="M456" s="25" t="s">
        <v>58</v>
      </c>
      <c r="N456" s="23" t="s">
        <v>55</v>
      </c>
      <c r="O456" s="23" t="s">
        <v>59</v>
      </c>
      <c r="P456" s="26" t="s">
        <v>60</v>
      </c>
      <c r="Q456" s="26">
        <v>3</v>
      </c>
      <c r="R456" s="26" t="s">
        <v>240</v>
      </c>
      <c r="S456" s="26">
        <v>80</v>
      </c>
      <c r="T456" s="26">
        <v>98</v>
      </c>
      <c r="U456" s="22" t="s">
        <v>58</v>
      </c>
      <c r="V456" s="23" t="s">
        <v>62</v>
      </c>
      <c r="W456" s="23"/>
      <c r="X456" s="23" t="e">
        <f>IF(COUNTIF(#REF!,_xlfn.TEXTJOIN(".",,C456,F456,H456)),"是","否")</f>
        <v>#REF!</v>
      </c>
      <c r="Y456" s="23" t="e">
        <f t="shared" si="175"/>
        <v>#REF!</v>
      </c>
      <c r="Z456" s="23" t="s">
        <v>55</v>
      </c>
      <c r="AA456" s="27" t="s">
        <v>55</v>
      </c>
      <c r="AB456" s="27" t="s">
        <v>60</v>
      </c>
      <c r="AC456" s="27">
        <v>3</v>
      </c>
      <c r="AD456" s="27" t="s">
        <v>61</v>
      </c>
      <c r="AE456" s="27">
        <v>80</v>
      </c>
      <c r="AF456" s="27"/>
      <c r="AG456" s="27"/>
      <c r="AH456" s="27" t="s">
        <v>58</v>
      </c>
      <c r="AI456" s="27" t="s">
        <v>62</v>
      </c>
      <c r="AJ456" s="1" t="str">
        <f t="shared" si="176"/>
        <v>SYS.DDS.mongodb_instance_id,mongodb_node_id.mongo031_cpu_usage</v>
      </c>
      <c r="AK456" s="1" t="s">
        <v>152</v>
      </c>
      <c r="AL456" s="1"/>
    </row>
    <row r="457" spans="1:38" hidden="1" x14ac:dyDescent="0.25">
      <c r="A457" s="24">
        <f t="shared" si="174"/>
        <v>456</v>
      </c>
      <c r="B457" s="25" t="s">
        <v>1414</v>
      </c>
      <c r="C457" s="25" t="s">
        <v>1415</v>
      </c>
      <c r="D457" s="25" t="s">
        <v>1416</v>
      </c>
      <c r="E457" s="25" t="s">
        <v>1417</v>
      </c>
      <c r="F457" s="25" t="s">
        <v>1418</v>
      </c>
      <c r="G457" s="25" t="s">
        <v>76</v>
      </c>
      <c r="H457" s="25" t="s">
        <v>1421</v>
      </c>
      <c r="I457" s="25" t="s">
        <v>78</v>
      </c>
      <c r="J457" s="25" t="s">
        <v>38</v>
      </c>
      <c r="K457" s="25">
        <v>60</v>
      </c>
      <c r="L457" s="25"/>
      <c r="M457" s="25" t="s">
        <v>58</v>
      </c>
      <c r="N457" s="23" t="s">
        <v>55</v>
      </c>
      <c r="O457" s="23" t="s">
        <v>59</v>
      </c>
      <c r="P457" s="26" t="s">
        <v>60</v>
      </c>
      <c r="Q457" s="26">
        <v>3</v>
      </c>
      <c r="R457" s="26" t="s">
        <v>240</v>
      </c>
      <c r="S457" s="26">
        <v>90</v>
      </c>
      <c r="T457" s="26">
        <v>98</v>
      </c>
      <c r="U457" s="23" t="s">
        <v>58</v>
      </c>
      <c r="V457" s="23" t="s">
        <v>62</v>
      </c>
      <c r="W457" s="23"/>
      <c r="X457" s="23" t="e">
        <f>IF(COUNTIF(#REF!,_xlfn.TEXTJOIN(".",,C457,F457,H457)),"是","否")</f>
        <v>#REF!</v>
      </c>
      <c r="Y457" s="23" t="e">
        <f t="shared" si="175"/>
        <v>#REF!</v>
      </c>
      <c r="Z457" s="23" t="s">
        <v>55</v>
      </c>
      <c r="AA457" s="27" t="s">
        <v>55</v>
      </c>
      <c r="AB457" s="27" t="s">
        <v>60</v>
      </c>
      <c r="AC457" s="27">
        <v>3</v>
      </c>
      <c r="AD457" s="27" t="s">
        <v>61</v>
      </c>
      <c r="AE457" s="27">
        <v>90</v>
      </c>
      <c r="AF457" s="27"/>
      <c r="AG457" s="27"/>
      <c r="AH457" s="27" t="s">
        <v>58</v>
      </c>
      <c r="AI457" s="27" t="s">
        <v>62</v>
      </c>
      <c r="AJ457" s="1" t="str">
        <f t="shared" si="176"/>
        <v>SYS.DDS.mongodb_instance_id,mongodb_node_id.mongo032_mem_usage</v>
      </c>
      <c r="AK457" s="1" t="s">
        <v>152</v>
      </c>
      <c r="AL457" s="1"/>
    </row>
    <row r="458" spans="1:38" hidden="1" x14ac:dyDescent="0.25">
      <c r="A458" s="24">
        <f t="shared" si="174"/>
        <v>457</v>
      </c>
      <c r="B458" s="25" t="s">
        <v>1414</v>
      </c>
      <c r="C458" s="25" t="s">
        <v>1415</v>
      </c>
      <c r="D458" s="25" t="s">
        <v>1416</v>
      </c>
      <c r="E458" s="25" t="s">
        <v>1417</v>
      </c>
      <c r="F458" s="25" t="s">
        <v>1418</v>
      </c>
      <c r="G458" s="25" t="s">
        <v>344</v>
      </c>
      <c r="H458" s="25" t="s">
        <v>1422</v>
      </c>
      <c r="I458" s="25" t="s">
        <v>81</v>
      </c>
      <c r="J458" s="25" t="s">
        <v>38</v>
      </c>
      <c r="K458" s="25">
        <v>60</v>
      </c>
      <c r="L458" s="25"/>
      <c r="M458" s="25" t="s">
        <v>58</v>
      </c>
      <c r="N458" s="23" t="s">
        <v>55</v>
      </c>
      <c r="O458" s="23" t="s">
        <v>59</v>
      </c>
      <c r="P458" s="26" t="s">
        <v>60</v>
      </c>
      <c r="Q458" s="26">
        <v>3</v>
      </c>
      <c r="R458" s="26" t="s">
        <v>240</v>
      </c>
      <c r="S458" s="26">
        <v>80</v>
      </c>
      <c r="T458" s="26">
        <v>95</v>
      </c>
      <c r="U458" s="23" t="s">
        <v>58</v>
      </c>
      <c r="V458" s="23" t="s">
        <v>62</v>
      </c>
      <c r="W458" s="23"/>
      <c r="X458" s="23" t="e">
        <f>IF(COUNTIF(#REF!,_xlfn.TEXTJOIN(".",,C458,F458,H458)),"是","否")</f>
        <v>#REF!</v>
      </c>
      <c r="Y458" s="23" t="e">
        <f t="shared" si="175"/>
        <v>#REF!</v>
      </c>
      <c r="Z458" s="23" t="s">
        <v>55</v>
      </c>
      <c r="AA458" s="27" t="s">
        <v>55</v>
      </c>
      <c r="AB458" s="27" t="s">
        <v>60</v>
      </c>
      <c r="AC458" s="27">
        <v>3</v>
      </c>
      <c r="AD458" s="27" t="s">
        <v>61</v>
      </c>
      <c r="AE458" s="27">
        <v>80</v>
      </c>
      <c r="AF458" s="27"/>
      <c r="AG458" s="27"/>
      <c r="AH458" s="27" t="s">
        <v>58</v>
      </c>
      <c r="AI458" s="27" t="s">
        <v>62</v>
      </c>
      <c r="AJ458" s="1" t="str">
        <f t="shared" si="176"/>
        <v>SYS.DDS.mongodb_instance_id,mongodb_node_id.mongo035_disk_usage</v>
      </c>
      <c r="AK458" s="1" t="s">
        <v>152</v>
      </c>
      <c r="AL458" s="1"/>
    </row>
    <row r="459" spans="1:38" hidden="1" x14ac:dyDescent="0.25">
      <c r="A459" s="24">
        <f t="shared" si="174"/>
        <v>458</v>
      </c>
      <c r="B459" s="25" t="s">
        <v>1414</v>
      </c>
      <c r="C459" s="25" t="s">
        <v>1415</v>
      </c>
      <c r="D459" s="25" t="s">
        <v>1416</v>
      </c>
      <c r="E459" s="25" t="s">
        <v>1417</v>
      </c>
      <c r="F459" s="25" t="s">
        <v>1418</v>
      </c>
      <c r="G459" s="25" t="s">
        <v>355</v>
      </c>
      <c r="H459" s="25" t="s">
        <v>1423</v>
      </c>
      <c r="I459" s="25" t="s">
        <v>1424</v>
      </c>
      <c r="J459" s="25" t="s">
        <v>38</v>
      </c>
      <c r="K459" s="25">
        <v>60</v>
      </c>
      <c r="L459" s="25"/>
      <c r="M459" s="25" t="s">
        <v>226</v>
      </c>
      <c r="N459" s="23" t="s">
        <v>55</v>
      </c>
      <c r="O459" s="23" t="s">
        <v>59</v>
      </c>
      <c r="P459" s="26" t="s">
        <v>60</v>
      </c>
      <c r="Q459" s="26">
        <v>3</v>
      </c>
      <c r="R459" s="26" t="s">
        <v>240</v>
      </c>
      <c r="S459" s="26">
        <v>0.05</v>
      </c>
      <c r="T459" s="26">
        <v>0.1</v>
      </c>
      <c r="U459" s="22" t="s">
        <v>226</v>
      </c>
      <c r="V459" s="23" t="s">
        <v>62</v>
      </c>
      <c r="W459" s="23"/>
      <c r="X459" s="23" t="e">
        <f>IF(COUNTIF(#REF!,_xlfn.TEXTJOIN(".",,C459,F459,H459)),"是","否")</f>
        <v>#REF!</v>
      </c>
      <c r="Y459" s="23" t="e">
        <f t="shared" si="175"/>
        <v>#REF!</v>
      </c>
      <c r="Z459" s="23" t="s">
        <v>55</v>
      </c>
      <c r="AA459" s="27" t="s">
        <v>55</v>
      </c>
      <c r="AB459" s="27" t="s">
        <v>60</v>
      </c>
      <c r="AC459" s="27">
        <v>3</v>
      </c>
      <c r="AD459" s="27" t="s">
        <v>240</v>
      </c>
      <c r="AE459" s="27">
        <v>100</v>
      </c>
      <c r="AF459" s="27"/>
      <c r="AG459" s="27" t="s">
        <v>370</v>
      </c>
      <c r="AH459" s="27" t="s">
        <v>44</v>
      </c>
      <c r="AI459" s="27" t="s">
        <v>62</v>
      </c>
      <c r="AJ459" s="1" t="str">
        <f t="shared" si="176"/>
        <v>SYS.DDS.mongodb_instance_id,mongodb_node_id.mongo039_avg_disk_sec_per_read</v>
      </c>
      <c r="AK459" s="1" t="s">
        <v>302</v>
      </c>
      <c r="AL459" s="1"/>
    </row>
    <row r="460" spans="1:38" hidden="1" x14ac:dyDescent="0.25">
      <c r="A460" s="24">
        <f t="shared" si="174"/>
        <v>459</v>
      </c>
      <c r="B460" s="25" t="s">
        <v>1414</v>
      </c>
      <c r="C460" s="25" t="s">
        <v>1415</v>
      </c>
      <c r="D460" s="25" t="s">
        <v>1416</v>
      </c>
      <c r="E460" s="25" t="s">
        <v>1417</v>
      </c>
      <c r="F460" s="25" t="s">
        <v>1418</v>
      </c>
      <c r="G460" s="25" t="s">
        <v>356</v>
      </c>
      <c r="H460" s="25" t="s">
        <v>1425</v>
      </c>
      <c r="I460" s="25" t="s">
        <v>1426</v>
      </c>
      <c r="J460" s="25" t="s">
        <v>38</v>
      </c>
      <c r="K460" s="25">
        <v>60</v>
      </c>
      <c r="L460" s="25"/>
      <c r="M460" s="25" t="s">
        <v>226</v>
      </c>
      <c r="N460" s="23" t="s">
        <v>55</v>
      </c>
      <c r="O460" s="23" t="s">
        <v>59</v>
      </c>
      <c r="P460" s="26" t="s">
        <v>60</v>
      </c>
      <c r="Q460" s="26">
        <v>3</v>
      </c>
      <c r="R460" s="26" t="s">
        <v>240</v>
      </c>
      <c r="S460" s="26">
        <v>0.05</v>
      </c>
      <c r="T460" s="26">
        <v>0.1</v>
      </c>
      <c r="U460" s="22" t="s">
        <v>226</v>
      </c>
      <c r="V460" s="23" t="s">
        <v>62</v>
      </c>
      <c r="W460" s="23"/>
      <c r="X460" s="23" t="e">
        <f>IF(COUNTIF(#REF!,_xlfn.TEXTJOIN(".",,C460,F460,H460)),"是","否")</f>
        <v>#REF!</v>
      </c>
      <c r="Y460" s="23" t="e">
        <f t="shared" si="175"/>
        <v>#REF!</v>
      </c>
      <c r="Z460" s="23" t="s">
        <v>55</v>
      </c>
      <c r="AA460" s="27" t="s">
        <v>55</v>
      </c>
      <c r="AB460" s="27" t="s">
        <v>60</v>
      </c>
      <c r="AC460" s="27">
        <v>3</v>
      </c>
      <c r="AD460" s="27" t="s">
        <v>240</v>
      </c>
      <c r="AE460" s="27">
        <v>100</v>
      </c>
      <c r="AF460" s="27"/>
      <c r="AG460" s="27" t="s">
        <v>370</v>
      </c>
      <c r="AH460" s="27" t="s">
        <v>44</v>
      </c>
      <c r="AI460" s="27" t="s">
        <v>62</v>
      </c>
      <c r="AJ460" s="1" t="str">
        <f t="shared" si="176"/>
        <v>SYS.DDS.mongodb_instance_id,mongodb_node_id.mongo040_avg_disk_sec_per_write</v>
      </c>
      <c r="AK460" s="1" t="s">
        <v>302</v>
      </c>
      <c r="AL460" s="1"/>
    </row>
    <row r="461" spans="1:38" hidden="1" x14ac:dyDescent="0.25">
      <c r="A461" s="24">
        <f t="shared" si="174"/>
        <v>460</v>
      </c>
      <c r="B461" s="25" t="s">
        <v>1414</v>
      </c>
      <c r="C461" s="25" t="s">
        <v>1415</v>
      </c>
      <c r="D461" s="25" t="s">
        <v>1416</v>
      </c>
      <c r="E461" s="25" t="s">
        <v>1417</v>
      </c>
      <c r="F461" s="25" t="s">
        <v>1418</v>
      </c>
      <c r="G461" s="25" t="s">
        <v>221</v>
      </c>
      <c r="H461" s="25" t="s">
        <v>1427</v>
      </c>
      <c r="I461" s="25" t="s">
        <v>1428</v>
      </c>
      <c r="J461" s="25" t="s">
        <v>38</v>
      </c>
      <c r="K461" s="25">
        <v>60</v>
      </c>
      <c r="L461" s="25" t="s">
        <v>39</v>
      </c>
      <c r="M461" s="25" t="s">
        <v>58</v>
      </c>
      <c r="N461" s="23" t="s">
        <v>55</v>
      </c>
      <c r="O461" s="23" t="s">
        <v>59</v>
      </c>
      <c r="P461" s="26" t="s">
        <v>60</v>
      </c>
      <c r="Q461" s="26">
        <v>3</v>
      </c>
      <c r="R461" s="26" t="s">
        <v>240</v>
      </c>
      <c r="S461" s="26">
        <v>80</v>
      </c>
      <c r="T461" s="26">
        <v>95</v>
      </c>
      <c r="U461" s="23" t="s">
        <v>58</v>
      </c>
      <c r="V461" s="23" t="s">
        <v>62</v>
      </c>
      <c r="W461" s="23"/>
      <c r="X461" s="23" t="e">
        <f>IF(COUNTIF(#REF!,_xlfn.TEXTJOIN(".",,C461,F461,H461)),"是","否")</f>
        <v>#REF!</v>
      </c>
      <c r="Y461" s="23" t="e">
        <f t="shared" si="175"/>
        <v>#REF!</v>
      </c>
      <c r="Z461" s="23" t="s">
        <v>55</v>
      </c>
      <c r="AA461" s="27" t="s">
        <v>55</v>
      </c>
      <c r="AB461" s="27" t="s">
        <v>60</v>
      </c>
      <c r="AC461" s="27">
        <v>3</v>
      </c>
      <c r="AD461" s="27" t="s">
        <v>61</v>
      </c>
      <c r="AE461" s="27">
        <v>80</v>
      </c>
      <c r="AF461" s="27"/>
      <c r="AG461" s="27"/>
      <c r="AH461" s="27" t="s">
        <v>58</v>
      </c>
      <c r="AI461" s="27" t="s">
        <v>62</v>
      </c>
      <c r="AJ461" s="1" t="str">
        <f t="shared" si="176"/>
        <v>SYS.DDS.mongodb_instance_id,mongodb_node_id.mongo007_connections_usage</v>
      </c>
      <c r="AK461" s="1" t="s">
        <v>152</v>
      </c>
      <c r="AL461" s="1"/>
    </row>
    <row r="462" spans="1:38" hidden="1" x14ac:dyDescent="0.25">
      <c r="A462" s="24">
        <f t="shared" si="174"/>
        <v>461</v>
      </c>
      <c r="B462" s="25" t="s">
        <v>1414</v>
      </c>
      <c r="C462" s="25" t="s">
        <v>1415</v>
      </c>
      <c r="D462" s="25" t="s">
        <v>1416</v>
      </c>
      <c r="E462" s="25" t="s">
        <v>1417</v>
      </c>
      <c r="F462" s="25" t="s">
        <v>1418</v>
      </c>
      <c r="G462" s="25" t="s">
        <v>1429</v>
      </c>
      <c r="H462" s="25" t="s">
        <v>1430</v>
      </c>
      <c r="I462" s="25" t="s">
        <v>1431</v>
      </c>
      <c r="J462" s="25" t="s">
        <v>38</v>
      </c>
      <c r="K462" s="25">
        <v>60</v>
      </c>
      <c r="L462" s="25"/>
      <c r="M462" s="25" t="s">
        <v>58</v>
      </c>
      <c r="N462" s="23" t="s">
        <v>55</v>
      </c>
      <c r="O462" s="23" t="s">
        <v>59</v>
      </c>
      <c r="P462" s="26" t="s">
        <v>60</v>
      </c>
      <c r="Q462" s="26">
        <v>3</v>
      </c>
      <c r="R462" s="26" t="s">
        <v>240</v>
      </c>
      <c r="S462" s="26">
        <v>85</v>
      </c>
      <c r="T462" s="26">
        <v>95</v>
      </c>
      <c r="U462" s="23" t="s">
        <v>58</v>
      </c>
      <c r="V462" s="23" t="s">
        <v>62</v>
      </c>
      <c r="W462" s="23"/>
      <c r="X462" s="23" t="e">
        <f>IF(COUNTIF(#REF!,_xlfn.TEXTJOIN(".",,C462,F462,H462)),"是","否")</f>
        <v>#REF!</v>
      </c>
      <c r="Y462" s="23" t="e">
        <f t="shared" si="175"/>
        <v>#REF!</v>
      </c>
      <c r="Z462" s="23" t="s">
        <v>55</v>
      </c>
      <c r="AA462" s="27" t="s">
        <v>55</v>
      </c>
      <c r="AB462" s="27" t="s">
        <v>60</v>
      </c>
      <c r="AC462" s="27">
        <v>3</v>
      </c>
      <c r="AD462" s="27" t="s">
        <v>240</v>
      </c>
      <c r="AE462" s="27"/>
      <c r="AF462" s="27">
        <v>95</v>
      </c>
      <c r="AG462" s="27"/>
      <c r="AH462" s="27" t="s">
        <v>58</v>
      </c>
      <c r="AI462" s="27" t="s">
        <v>62</v>
      </c>
      <c r="AJ462" s="1" t="str">
        <f t="shared" si="176"/>
        <v>SYS.DDS.mongodb_instance_id,mongodb_node_id.mongo054_wt_cache_used_percent</v>
      </c>
      <c r="AK462" s="1" t="s">
        <v>152</v>
      </c>
      <c r="AL462" s="1"/>
    </row>
    <row r="463" spans="1:38" hidden="1" x14ac:dyDescent="0.25">
      <c r="A463" s="24">
        <f t="shared" si="174"/>
        <v>462</v>
      </c>
      <c r="B463" s="25" t="s">
        <v>1414</v>
      </c>
      <c r="C463" s="25" t="s">
        <v>1415</v>
      </c>
      <c r="D463" s="25" t="s">
        <v>1416</v>
      </c>
      <c r="E463" s="25" t="s">
        <v>1417</v>
      </c>
      <c r="F463" s="25" t="s">
        <v>1418</v>
      </c>
      <c r="G463" s="25" t="s">
        <v>1432</v>
      </c>
      <c r="H463" s="25" t="s">
        <v>1433</v>
      </c>
      <c r="I463" s="25" t="s">
        <v>1434</v>
      </c>
      <c r="J463" s="25" t="s">
        <v>38</v>
      </c>
      <c r="K463" s="25">
        <v>60</v>
      </c>
      <c r="L463" s="25"/>
      <c r="M463" s="25" t="s">
        <v>58</v>
      </c>
      <c r="N463" s="23" t="s">
        <v>55</v>
      </c>
      <c r="O463" s="23" t="s">
        <v>59</v>
      </c>
      <c r="P463" s="26" t="s">
        <v>60</v>
      </c>
      <c r="Q463" s="26">
        <v>3</v>
      </c>
      <c r="R463" s="26" t="s">
        <v>240</v>
      </c>
      <c r="S463" s="26">
        <v>20</v>
      </c>
      <c r="T463" s="26">
        <v>25</v>
      </c>
      <c r="U463" s="23" t="s">
        <v>58</v>
      </c>
      <c r="V463" s="23" t="s">
        <v>62</v>
      </c>
      <c r="W463" s="23"/>
      <c r="X463" s="23" t="e">
        <f>IF(COUNTIF(#REF!,_xlfn.TEXTJOIN(".",,C463,F463,H463)),"是","否")</f>
        <v>#REF!</v>
      </c>
      <c r="Y463" s="23" t="e">
        <f t="shared" si="175"/>
        <v>#REF!</v>
      </c>
      <c r="Z463" s="23" t="s">
        <v>55</v>
      </c>
      <c r="AA463" s="23"/>
      <c r="AB463" s="23"/>
      <c r="AC463" s="23"/>
      <c r="AD463" s="23"/>
      <c r="AE463" s="23"/>
      <c r="AF463" s="23"/>
      <c r="AG463" s="23"/>
      <c r="AH463" s="23"/>
      <c r="AI463" s="23"/>
      <c r="AJ463" s="1" t="str">
        <f t="shared" si="176"/>
        <v>SYS.DDS.mongodb_instance_id,mongodb_node_id.mongo055_wt_cache_dirty_percent</v>
      </c>
      <c r="AK463" s="1" t="s">
        <v>152</v>
      </c>
      <c r="AL463" s="1"/>
    </row>
    <row r="464" spans="1:38" hidden="1" x14ac:dyDescent="0.25">
      <c r="A464" s="24">
        <f t="shared" ref="A464:A468" si="177">ROW()-1</f>
        <v>463</v>
      </c>
      <c r="B464" s="25" t="s">
        <v>1145</v>
      </c>
      <c r="C464" s="25" t="s">
        <v>1146</v>
      </c>
      <c r="D464" s="27" t="s">
        <v>1147</v>
      </c>
      <c r="E464" s="25" t="s">
        <v>1148</v>
      </c>
      <c r="F464" s="25" t="s">
        <v>1149</v>
      </c>
      <c r="G464" s="25" t="s">
        <v>532</v>
      </c>
      <c r="H464" s="25" t="s">
        <v>533</v>
      </c>
      <c r="I464" s="22" t="s">
        <v>1162</v>
      </c>
      <c r="J464" s="22" t="s">
        <v>38</v>
      </c>
      <c r="K464" s="23">
        <v>60</v>
      </c>
      <c r="L464" s="23"/>
      <c r="M464" s="22" t="s">
        <v>44</v>
      </c>
      <c r="N464" s="23"/>
      <c r="O464" s="23" t="s">
        <v>59</v>
      </c>
      <c r="P464" s="23" t="s">
        <v>60</v>
      </c>
      <c r="Q464" s="23">
        <v>3</v>
      </c>
      <c r="R464" s="23" t="s">
        <v>61</v>
      </c>
      <c r="S464" s="23"/>
      <c r="T464" s="23">
        <v>50</v>
      </c>
      <c r="U464" s="22" t="s">
        <v>44</v>
      </c>
      <c r="V464" s="23" t="s">
        <v>276</v>
      </c>
      <c r="W464" s="23"/>
      <c r="X464" s="23" t="e">
        <f>IF(COUNTIF(#REF!,_xlfn.TEXTJOIN(".",,C464,F464,H464)),"是","否")</f>
        <v>#REF!</v>
      </c>
      <c r="Y464" s="23" t="e">
        <f t="shared" ref="Y464:Y468" si="178">IF(AND(O464="底线指标",X464="是"),"是","否")</f>
        <v>#REF!</v>
      </c>
      <c r="Z464" s="23" t="s">
        <v>55</v>
      </c>
      <c r="AA464" s="27" t="s">
        <v>55</v>
      </c>
      <c r="AB464" s="27" t="s">
        <v>60</v>
      </c>
      <c r="AC464" s="27">
        <v>3</v>
      </c>
      <c r="AD464" s="27" t="s">
        <v>332</v>
      </c>
      <c r="AE464" s="27">
        <v>20</v>
      </c>
      <c r="AF464" s="27"/>
      <c r="AG464" s="27"/>
      <c r="AH464" s="27" t="s">
        <v>58</v>
      </c>
      <c r="AI464" s="27" t="s">
        <v>62</v>
      </c>
      <c r="AJ464" s="1" t="str">
        <f t="shared" ref="AJ464:AJ468" si="179">_xlfn.TEXTJOIN(".",TRUE,C464,F464,H464)</f>
        <v>SYS.DCAAS.direct_connect_id.latency</v>
      </c>
      <c r="AK464" s="1"/>
      <c r="AL464" s="1"/>
    </row>
    <row r="465" spans="1:38" hidden="1" x14ac:dyDescent="0.25">
      <c r="A465" s="24">
        <f t="shared" si="177"/>
        <v>464</v>
      </c>
      <c r="B465" s="25" t="s">
        <v>1106</v>
      </c>
      <c r="C465" s="25" t="s">
        <v>1107</v>
      </c>
      <c r="D465" s="25" t="s">
        <v>1106</v>
      </c>
      <c r="E465" s="25" t="s">
        <v>1444</v>
      </c>
      <c r="F465" s="25" t="s">
        <v>1445</v>
      </c>
      <c r="G465" s="25" t="s">
        <v>1111</v>
      </c>
      <c r="H465" s="25" t="s">
        <v>1112</v>
      </c>
      <c r="I465" s="25" t="s">
        <v>1113</v>
      </c>
      <c r="J465" s="25" t="s">
        <v>38</v>
      </c>
      <c r="K465" s="27">
        <v>60</v>
      </c>
      <c r="L465" s="27" t="s">
        <v>39</v>
      </c>
      <c r="M465" s="25" t="s">
        <v>139</v>
      </c>
      <c r="N465" s="23" t="s">
        <v>55</v>
      </c>
      <c r="O465" s="23" t="s">
        <v>59</v>
      </c>
      <c r="P465" s="23" t="s">
        <v>60</v>
      </c>
      <c r="Q465" s="23">
        <v>3</v>
      </c>
      <c r="R465" s="23" t="s">
        <v>61</v>
      </c>
      <c r="S465" s="23" t="s">
        <v>1110</v>
      </c>
      <c r="T465" s="23">
        <v>10000</v>
      </c>
      <c r="U465" s="23" t="s">
        <v>44</v>
      </c>
      <c r="V465" s="23" t="s">
        <v>62</v>
      </c>
      <c r="W465" s="23"/>
      <c r="X465" s="23" t="e">
        <f>IF(COUNTIF(#REF!,_xlfn.TEXTJOIN(".",,C465,F465,H465)),"是","否")</f>
        <v>#REF!</v>
      </c>
      <c r="Y465" s="23" t="e">
        <f t="shared" si="178"/>
        <v>#REF!</v>
      </c>
      <c r="Z465" s="23"/>
      <c r="AA465" s="23"/>
      <c r="AB465" s="23"/>
      <c r="AC465" s="23"/>
      <c r="AD465" s="23"/>
      <c r="AE465" s="23"/>
      <c r="AF465" s="23"/>
      <c r="AG465" s="23"/>
      <c r="AH465" s="23"/>
      <c r="AI465" s="23"/>
      <c r="AJ465" s="1" t="str">
        <f t="shared" si="179"/>
        <v>SYS.MaaS.maas_service_name.ttft</v>
      </c>
      <c r="AK465" s="1"/>
      <c r="AL465" s="1"/>
    </row>
    <row r="466" spans="1:38" hidden="1" x14ac:dyDescent="0.25">
      <c r="A466" s="24">
        <f t="shared" si="177"/>
        <v>465</v>
      </c>
      <c r="B466" s="25" t="s">
        <v>1106</v>
      </c>
      <c r="C466" s="25" t="s">
        <v>1107</v>
      </c>
      <c r="D466" s="25" t="s">
        <v>1106</v>
      </c>
      <c r="E466" s="25" t="s">
        <v>1444</v>
      </c>
      <c r="F466" s="25" t="s">
        <v>1445</v>
      </c>
      <c r="G466" s="25" t="s">
        <v>1114</v>
      </c>
      <c r="H466" s="25" t="s">
        <v>1115</v>
      </c>
      <c r="I466" s="25" t="s">
        <v>1116</v>
      </c>
      <c r="J466" s="25" t="s">
        <v>38</v>
      </c>
      <c r="K466" s="27">
        <v>60</v>
      </c>
      <c r="L466" s="27" t="s">
        <v>39</v>
      </c>
      <c r="M466" s="25" t="s">
        <v>139</v>
      </c>
      <c r="N466" s="23" t="s">
        <v>55</v>
      </c>
      <c r="O466" s="23" t="s">
        <v>59</v>
      </c>
      <c r="P466" s="23" t="s">
        <v>60</v>
      </c>
      <c r="Q466" s="23" t="s">
        <v>1117</v>
      </c>
      <c r="R466" s="23" t="s">
        <v>61</v>
      </c>
      <c r="S466" s="23" t="s">
        <v>1110</v>
      </c>
      <c r="T466" s="23" t="s">
        <v>1118</v>
      </c>
      <c r="U466" s="23" t="s">
        <v>44</v>
      </c>
      <c r="V466" s="23" t="s">
        <v>62</v>
      </c>
      <c r="W466" s="23"/>
      <c r="X466" s="23" t="e">
        <f>IF(COUNTIF(#REF!,_xlfn.TEXTJOIN(".",,C466,F466,H466)),"是","否")</f>
        <v>#REF!</v>
      </c>
      <c r="Y466" s="23" t="e">
        <f t="shared" si="178"/>
        <v>#REF!</v>
      </c>
      <c r="Z466" s="23"/>
      <c r="AA466" s="23"/>
      <c r="AB466" s="23"/>
      <c r="AC466" s="23"/>
      <c r="AD466" s="23"/>
      <c r="AE466" s="23"/>
      <c r="AF466" s="23"/>
      <c r="AG466" s="23"/>
      <c r="AH466" s="23"/>
      <c r="AI466" s="23"/>
      <c r="AJ466" s="1" t="str">
        <f t="shared" si="179"/>
        <v>SYS.MaaS.maas_service_name.tpot</v>
      </c>
      <c r="AK466" s="1"/>
      <c r="AL466" s="1"/>
    </row>
    <row r="467" spans="1:38" hidden="1" x14ac:dyDescent="0.25">
      <c r="A467" s="24">
        <f t="shared" si="177"/>
        <v>466</v>
      </c>
      <c r="B467" s="25" t="s">
        <v>1106</v>
      </c>
      <c r="C467" s="25" t="s">
        <v>1107</v>
      </c>
      <c r="D467" s="25" t="s">
        <v>1106</v>
      </c>
      <c r="E467" s="25" t="s">
        <v>1444</v>
      </c>
      <c r="F467" s="25" t="s">
        <v>1445</v>
      </c>
      <c r="G467" s="25" t="s">
        <v>1119</v>
      </c>
      <c r="H467" s="25" t="s">
        <v>142</v>
      </c>
      <c r="I467" s="25" t="s">
        <v>1120</v>
      </c>
      <c r="J467" s="25" t="s">
        <v>38</v>
      </c>
      <c r="K467" s="27">
        <v>60</v>
      </c>
      <c r="L467" s="27" t="s">
        <v>45</v>
      </c>
      <c r="M467" s="25" t="s">
        <v>141</v>
      </c>
      <c r="N467" s="23" t="s">
        <v>55</v>
      </c>
      <c r="O467" s="23" t="s">
        <v>59</v>
      </c>
      <c r="P467" s="23" t="s">
        <v>60</v>
      </c>
      <c r="Q467" s="23" t="s">
        <v>1117</v>
      </c>
      <c r="R467" s="23" t="s">
        <v>61</v>
      </c>
      <c r="S467" s="23" t="s">
        <v>1110</v>
      </c>
      <c r="T467" s="23" t="s">
        <v>1121</v>
      </c>
      <c r="U467" s="23" t="s">
        <v>141</v>
      </c>
      <c r="V467" s="23" t="s">
        <v>62</v>
      </c>
      <c r="W467" s="23"/>
      <c r="X467" s="23" t="e">
        <f>IF(COUNTIF(#REF!,_xlfn.TEXTJOIN(".",,C467,F467,H467)),"是","否")</f>
        <v>#REF!</v>
      </c>
      <c r="Y467" s="23" t="e">
        <f t="shared" si="178"/>
        <v>#REF!</v>
      </c>
      <c r="Z467" s="23"/>
      <c r="AA467" s="23"/>
      <c r="AB467" s="23"/>
      <c r="AC467" s="23"/>
      <c r="AD467" s="23"/>
      <c r="AE467" s="23"/>
      <c r="AF467" s="23"/>
      <c r="AG467" s="23"/>
      <c r="AH467" s="23"/>
      <c r="AI467" s="23"/>
      <c r="AJ467" s="1" t="str">
        <f t="shared" si="179"/>
        <v>SYS.MaaS.maas_service_name.req_count_5xx</v>
      </c>
      <c r="AK467" s="1"/>
      <c r="AL467" s="1"/>
    </row>
    <row r="468" spans="1:38" hidden="1" x14ac:dyDescent="0.25">
      <c r="A468" s="24">
        <f t="shared" si="177"/>
        <v>467</v>
      </c>
      <c r="B468" s="25" t="s">
        <v>1106</v>
      </c>
      <c r="C468" s="25" t="s">
        <v>1107</v>
      </c>
      <c r="D468" s="25" t="s">
        <v>1106</v>
      </c>
      <c r="E468" s="25" t="s">
        <v>1444</v>
      </c>
      <c r="F468" s="25" t="s">
        <v>1445</v>
      </c>
      <c r="G468" s="25" t="s">
        <v>1122</v>
      </c>
      <c r="H468" s="25" t="s">
        <v>1123</v>
      </c>
      <c r="I468" s="25" t="s">
        <v>1124</v>
      </c>
      <c r="J468" s="25" t="s">
        <v>38</v>
      </c>
      <c r="K468" s="27">
        <v>60</v>
      </c>
      <c r="L468" s="27" t="s">
        <v>39</v>
      </c>
      <c r="M468" s="25" t="s">
        <v>58</v>
      </c>
      <c r="N468" s="23" t="s">
        <v>55</v>
      </c>
      <c r="O468" s="23" t="s">
        <v>59</v>
      </c>
      <c r="P468" s="23" t="s">
        <v>60</v>
      </c>
      <c r="Q468" s="23" t="s">
        <v>1117</v>
      </c>
      <c r="R468" s="23" t="s">
        <v>61</v>
      </c>
      <c r="S468" s="23" t="s">
        <v>1110</v>
      </c>
      <c r="T468" s="23" t="s">
        <v>1125</v>
      </c>
      <c r="U468" s="23" t="s">
        <v>58</v>
      </c>
      <c r="V468" s="23" t="s">
        <v>62</v>
      </c>
      <c r="W468" s="23"/>
      <c r="X468" s="23" t="e">
        <f>IF(COUNTIF(#REF!,_xlfn.TEXTJOIN(".",,C468,F468,H468)),"是","否")</f>
        <v>#REF!</v>
      </c>
      <c r="Y468" s="23" t="e">
        <f t="shared" si="178"/>
        <v>#REF!</v>
      </c>
      <c r="Z468" s="23"/>
      <c r="AA468" s="23"/>
      <c r="AB468" s="23"/>
      <c r="AC468" s="23"/>
      <c r="AD468" s="23"/>
      <c r="AE468" s="23"/>
      <c r="AF468" s="23"/>
      <c r="AG468" s="23"/>
      <c r="AH468" s="23"/>
      <c r="AI468" s="23"/>
      <c r="AJ468" s="1" t="str">
        <f t="shared" si="179"/>
        <v>SYS.MaaS.maas_service_name.req_error_rate</v>
      </c>
      <c r="AK468" s="1"/>
      <c r="AL468" s="1"/>
    </row>
    <row r="469" spans="1:38" hidden="1" x14ac:dyDescent="0.25">
      <c r="A469" s="24">
        <f t="shared" ref="A469:A472" si="180">ROW()-1</f>
        <v>468</v>
      </c>
      <c r="B469" s="25" t="s">
        <v>1106</v>
      </c>
      <c r="C469" s="25" t="s">
        <v>1107</v>
      </c>
      <c r="D469" s="25" t="s">
        <v>1106</v>
      </c>
      <c r="E469" s="25" t="s">
        <v>1446</v>
      </c>
      <c r="F469" s="25" t="s">
        <v>1447</v>
      </c>
      <c r="G469" s="25" t="s">
        <v>1111</v>
      </c>
      <c r="H469" s="25" t="s">
        <v>1112</v>
      </c>
      <c r="I469" s="25" t="s">
        <v>1113</v>
      </c>
      <c r="J469" s="25" t="s">
        <v>38</v>
      </c>
      <c r="K469" s="27">
        <v>60</v>
      </c>
      <c r="L469" s="27" t="s">
        <v>39</v>
      </c>
      <c r="M469" s="25" t="s">
        <v>139</v>
      </c>
      <c r="N469" s="23" t="s">
        <v>55</v>
      </c>
      <c r="O469" s="23" t="s">
        <v>59</v>
      </c>
      <c r="P469" s="23" t="s">
        <v>60</v>
      </c>
      <c r="Q469" s="23">
        <v>3</v>
      </c>
      <c r="R469" s="23" t="s">
        <v>61</v>
      </c>
      <c r="S469" s="23" t="s">
        <v>1110</v>
      </c>
      <c r="T469" s="23">
        <v>10000</v>
      </c>
      <c r="U469" s="23" t="s">
        <v>44</v>
      </c>
      <c r="V469" s="23" t="s">
        <v>62</v>
      </c>
      <c r="W469" s="23"/>
      <c r="X469" s="23" t="e">
        <f>IF(COUNTIF(#REF!,_xlfn.TEXTJOIN(".",,C469,F469,H469)),"是","否")</f>
        <v>#REF!</v>
      </c>
      <c r="Y469" s="23" t="e">
        <f t="shared" ref="Y469:Y472" si="181">IF(AND(O469="底线指标",X469="是"),"是","否")</f>
        <v>#REF!</v>
      </c>
      <c r="Z469" s="23"/>
      <c r="AA469" s="23"/>
      <c r="AB469" s="23"/>
      <c r="AC469" s="23"/>
      <c r="AD469" s="23"/>
      <c r="AE469" s="23"/>
      <c r="AF469" s="23"/>
      <c r="AG469" s="23"/>
      <c r="AH469" s="23"/>
      <c r="AI469" s="23"/>
      <c r="AJ469" s="1" t="str">
        <f t="shared" ref="AJ469:AJ472" si="182">_xlfn.TEXTJOIN(".",TRUE,C469,F469,H469)</f>
        <v>SYS.MaaS.maas_service_name,maas_key_id.ttft</v>
      </c>
      <c r="AK469" s="1"/>
      <c r="AL469" s="1"/>
    </row>
    <row r="470" spans="1:38" hidden="1" x14ac:dyDescent="0.25">
      <c r="A470" s="24">
        <f t="shared" si="180"/>
        <v>469</v>
      </c>
      <c r="B470" s="25" t="s">
        <v>1106</v>
      </c>
      <c r="C470" s="25" t="s">
        <v>1107</v>
      </c>
      <c r="D470" s="25" t="s">
        <v>1106</v>
      </c>
      <c r="E470" s="25" t="s">
        <v>1446</v>
      </c>
      <c r="F470" s="25" t="s">
        <v>1447</v>
      </c>
      <c r="G470" s="25" t="s">
        <v>1114</v>
      </c>
      <c r="H470" s="25" t="s">
        <v>1115</v>
      </c>
      <c r="I470" s="25" t="s">
        <v>1116</v>
      </c>
      <c r="J470" s="25" t="s">
        <v>38</v>
      </c>
      <c r="K470" s="27">
        <v>60</v>
      </c>
      <c r="L470" s="27" t="s">
        <v>39</v>
      </c>
      <c r="M470" s="25" t="s">
        <v>139</v>
      </c>
      <c r="N470" s="23" t="s">
        <v>55</v>
      </c>
      <c r="O470" s="23" t="s">
        <v>59</v>
      </c>
      <c r="P470" s="23" t="s">
        <v>60</v>
      </c>
      <c r="Q470" s="23" t="s">
        <v>1117</v>
      </c>
      <c r="R470" s="23" t="s">
        <v>61</v>
      </c>
      <c r="S470" s="23" t="s">
        <v>1110</v>
      </c>
      <c r="T470" s="23" t="s">
        <v>1118</v>
      </c>
      <c r="U470" s="23" t="s">
        <v>44</v>
      </c>
      <c r="V470" s="23" t="s">
        <v>62</v>
      </c>
      <c r="W470" s="23"/>
      <c r="X470" s="23" t="e">
        <f>IF(COUNTIF(#REF!,_xlfn.TEXTJOIN(".",,C470,F470,H470)),"是","否")</f>
        <v>#REF!</v>
      </c>
      <c r="Y470" s="23" t="e">
        <f t="shared" si="181"/>
        <v>#REF!</v>
      </c>
      <c r="Z470" s="23"/>
      <c r="AA470" s="23"/>
      <c r="AB470" s="23"/>
      <c r="AC470" s="23"/>
      <c r="AD470" s="23"/>
      <c r="AE470" s="23"/>
      <c r="AF470" s="23"/>
      <c r="AG470" s="23"/>
      <c r="AH470" s="23"/>
      <c r="AI470" s="23"/>
      <c r="AJ470" s="1" t="str">
        <f t="shared" si="182"/>
        <v>SYS.MaaS.maas_service_name,maas_key_id.tpot</v>
      </c>
      <c r="AK470" s="1"/>
      <c r="AL470" s="1"/>
    </row>
    <row r="471" spans="1:38" hidden="1" x14ac:dyDescent="0.25">
      <c r="A471" s="24">
        <f t="shared" si="180"/>
        <v>470</v>
      </c>
      <c r="B471" s="25" t="s">
        <v>1106</v>
      </c>
      <c r="C471" s="25" t="s">
        <v>1107</v>
      </c>
      <c r="D471" s="25" t="s">
        <v>1106</v>
      </c>
      <c r="E471" s="25" t="s">
        <v>1446</v>
      </c>
      <c r="F471" s="25" t="s">
        <v>1447</v>
      </c>
      <c r="G471" s="25" t="s">
        <v>1119</v>
      </c>
      <c r="H471" s="25" t="s">
        <v>142</v>
      </c>
      <c r="I471" s="25" t="s">
        <v>1120</v>
      </c>
      <c r="J471" s="25" t="s">
        <v>38</v>
      </c>
      <c r="K471" s="27">
        <v>60</v>
      </c>
      <c r="L471" s="27" t="s">
        <v>45</v>
      </c>
      <c r="M471" s="25" t="s">
        <v>141</v>
      </c>
      <c r="N471" s="23" t="s">
        <v>55</v>
      </c>
      <c r="O471" s="23" t="s">
        <v>59</v>
      </c>
      <c r="P471" s="23" t="s">
        <v>60</v>
      </c>
      <c r="Q471" s="23" t="s">
        <v>1117</v>
      </c>
      <c r="R471" s="23" t="s">
        <v>61</v>
      </c>
      <c r="S471" s="23" t="s">
        <v>1110</v>
      </c>
      <c r="T471" s="23" t="s">
        <v>1121</v>
      </c>
      <c r="U471" s="23" t="s">
        <v>141</v>
      </c>
      <c r="V471" s="23" t="s">
        <v>62</v>
      </c>
      <c r="W471" s="23"/>
      <c r="X471" s="23" t="e">
        <f>IF(COUNTIF(#REF!,_xlfn.TEXTJOIN(".",,C471,F471,H471)),"是","否")</f>
        <v>#REF!</v>
      </c>
      <c r="Y471" s="23" t="e">
        <f t="shared" si="181"/>
        <v>#REF!</v>
      </c>
      <c r="Z471" s="23"/>
      <c r="AA471" s="23"/>
      <c r="AB471" s="23"/>
      <c r="AC471" s="23"/>
      <c r="AD471" s="23"/>
      <c r="AE471" s="23"/>
      <c r="AF471" s="23"/>
      <c r="AG471" s="23"/>
      <c r="AH471" s="23"/>
      <c r="AI471" s="23"/>
      <c r="AJ471" s="1" t="str">
        <f t="shared" si="182"/>
        <v>SYS.MaaS.maas_service_name,maas_key_id.req_count_5xx</v>
      </c>
      <c r="AK471" s="1"/>
      <c r="AL471" s="1"/>
    </row>
    <row r="472" spans="1:38" hidden="1" x14ac:dyDescent="0.25">
      <c r="A472" s="24">
        <f t="shared" si="180"/>
        <v>471</v>
      </c>
      <c r="B472" s="25" t="s">
        <v>1106</v>
      </c>
      <c r="C472" s="25" t="s">
        <v>1107</v>
      </c>
      <c r="D472" s="25" t="s">
        <v>1106</v>
      </c>
      <c r="E472" s="25" t="s">
        <v>1446</v>
      </c>
      <c r="F472" s="25" t="s">
        <v>1447</v>
      </c>
      <c r="G472" s="25" t="s">
        <v>1122</v>
      </c>
      <c r="H472" s="25" t="s">
        <v>1123</v>
      </c>
      <c r="I472" s="25" t="s">
        <v>1124</v>
      </c>
      <c r="J472" s="25" t="s">
        <v>38</v>
      </c>
      <c r="K472" s="27">
        <v>60</v>
      </c>
      <c r="L472" s="27" t="s">
        <v>39</v>
      </c>
      <c r="M472" s="25" t="s">
        <v>58</v>
      </c>
      <c r="N472" s="23" t="s">
        <v>55</v>
      </c>
      <c r="O472" s="23" t="s">
        <v>59</v>
      </c>
      <c r="P472" s="23" t="s">
        <v>60</v>
      </c>
      <c r="Q472" s="23" t="s">
        <v>1117</v>
      </c>
      <c r="R472" s="23" t="s">
        <v>61</v>
      </c>
      <c r="S472" s="23" t="s">
        <v>1110</v>
      </c>
      <c r="T472" s="23" t="s">
        <v>1125</v>
      </c>
      <c r="U472" s="23" t="s">
        <v>58</v>
      </c>
      <c r="V472" s="23" t="s">
        <v>62</v>
      </c>
      <c r="W472" s="23"/>
      <c r="X472" s="23" t="e">
        <f>IF(COUNTIF(#REF!,_xlfn.TEXTJOIN(".",,C472,F472,H472)),"是","否")</f>
        <v>#REF!</v>
      </c>
      <c r="Y472" s="23" t="e">
        <f t="shared" si="181"/>
        <v>#REF!</v>
      </c>
      <c r="Z472" s="23"/>
      <c r="AA472" s="23"/>
      <c r="AB472" s="23"/>
      <c r="AC472" s="23"/>
      <c r="AD472" s="23"/>
      <c r="AE472" s="23"/>
      <c r="AF472" s="23"/>
      <c r="AG472" s="23"/>
      <c r="AH472" s="23"/>
      <c r="AI472" s="23"/>
      <c r="AJ472" s="1" t="str">
        <f t="shared" si="182"/>
        <v>SYS.MaaS.maas_service_name,maas_key_id.req_error_rate</v>
      </c>
      <c r="AK472" s="1"/>
      <c r="AL472" s="1"/>
    </row>
    <row r="473" spans="1:38" hidden="1" x14ac:dyDescent="0.25">
      <c r="A473" s="24">
        <f t="shared" ref="A473" si="183">ROW()-1</f>
        <v>472</v>
      </c>
      <c r="B473" s="27" t="s">
        <v>1038</v>
      </c>
      <c r="C473" s="25" t="s">
        <v>1039</v>
      </c>
      <c r="D473" s="27" t="s">
        <v>1448</v>
      </c>
      <c r="E473" s="25" t="s">
        <v>998</v>
      </c>
      <c r="F473" s="25" t="s">
        <v>71</v>
      </c>
      <c r="G473" s="25" t="s">
        <v>84</v>
      </c>
      <c r="H473" s="25" t="s">
        <v>85</v>
      </c>
      <c r="I473" s="25" t="s">
        <v>1041</v>
      </c>
      <c r="J473" s="25" t="s">
        <v>38</v>
      </c>
      <c r="K473" s="25">
        <v>60</v>
      </c>
      <c r="L473" s="25" t="s">
        <v>39</v>
      </c>
      <c r="M473" s="25" t="s">
        <v>58</v>
      </c>
      <c r="N473" s="23" t="s">
        <v>55</v>
      </c>
      <c r="O473" s="23" t="s">
        <v>59</v>
      </c>
      <c r="P473" s="23" t="s">
        <v>60</v>
      </c>
      <c r="Q473" s="23">
        <v>3</v>
      </c>
      <c r="R473" s="23" t="s">
        <v>61</v>
      </c>
      <c r="S473" s="23"/>
      <c r="T473" s="23">
        <v>95</v>
      </c>
      <c r="U473" s="23" t="s">
        <v>58</v>
      </c>
      <c r="V473" s="23" t="s">
        <v>946</v>
      </c>
      <c r="W473" s="23"/>
      <c r="X473" s="23" t="e">
        <f>IF(COUNTIF(#REF!,_xlfn.TEXTJOIN(".",,C473,F473,H473)),"是","否")</f>
        <v>#REF!</v>
      </c>
      <c r="Y473" s="23" t="e">
        <f t="shared" ref="Y473" si="184">IF(AND(O473="底线指标",X473="是"),"是","否")</f>
        <v>#REF!</v>
      </c>
      <c r="Z473" s="1"/>
      <c r="AA473" s="38"/>
      <c r="AB473" s="38"/>
      <c r="AC473" s="38"/>
      <c r="AD473" s="38"/>
      <c r="AE473" s="38"/>
      <c r="AF473" s="38"/>
      <c r="AG473" s="38"/>
      <c r="AH473" s="38"/>
      <c r="AI473" s="38"/>
      <c r="AJ473" s="1"/>
      <c r="AK473" s="1" t="s">
        <v>152</v>
      </c>
      <c r="AL473" s="1"/>
    </row>
    <row r="474" spans="1:38" hidden="1" x14ac:dyDescent="0.25">
      <c r="A474" s="24">
        <f t="shared" ref="A474:A485" si="185">ROW()-1</f>
        <v>473</v>
      </c>
      <c r="B474" s="27" t="s">
        <v>1038</v>
      </c>
      <c r="C474" s="25" t="s">
        <v>1039</v>
      </c>
      <c r="D474" s="27" t="s">
        <v>1448</v>
      </c>
      <c r="E474" s="25" t="s">
        <v>998</v>
      </c>
      <c r="F474" s="25" t="s">
        <v>71</v>
      </c>
      <c r="G474" s="25" t="s">
        <v>88</v>
      </c>
      <c r="H474" s="25" t="s">
        <v>89</v>
      </c>
      <c r="I474" s="22" t="s">
        <v>1042</v>
      </c>
      <c r="J474" s="22" t="s">
        <v>38</v>
      </c>
      <c r="K474" s="22">
        <v>60</v>
      </c>
      <c r="L474" s="22" t="s">
        <v>39</v>
      </c>
      <c r="M474" s="22"/>
      <c r="N474" s="23" t="s">
        <v>55</v>
      </c>
      <c r="O474" s="23" t="s">
        <v>59</v>
      </c>
      <c r="P474" s="23" t="s">
        <v>60</v>
      </c>
      <c r="Q474" s="23">
        <v>3</v>
      </c>
      <c r="R474" s="23" t="s">
        <v>61</v>
      </c>
      <c r="S474" s="23">
        <v>1</v>
      </c>
      <c r="T474" s="23"/>
      <c r="U474" s="22"/>
      <c r="V474" s="23" t="s">
        <v>459</v>
      </c>
      <c r="W474" s="23"/>
      <c r="X474" s="23" t="e">
        <f>IF(COUNTIF(#REF!,_xlfn.TEXTJOIN(".",,C474,F474,H474)),"是","否")</f>
        <v>#REF!</v>
      </c>
      <c r="Y474" s="23" t="e">
        <f t="shared" ref="Y474:Y485" si="186">IF(AND(O474="底线指标",X474="是"),"是","否")</f>
        <v>#REF!</v>
      </c>
      <c r="Z474" s="1"/>
      <c r="AA474" s="38"/>
      <c r="AB474" s="38"/>
      <c r="AC474" s="38"/>
      <c r="AD474" s="38"/>
      <c r="AE474" s="38"/>
      <c r="AF474" s="38"/>
      <c r="AG474" s="38"/>
      <c r="AH474" s="38"/>
      <c r="AI474" s="38"/>
      <c r="AJ474" s="1"/>
      <c r="AK474" s="1"/>
      <c r="AL474" s="1"/>
    </row>
    <row r="475" spans="1:38" hidden="1" x14ac:dyDescent="0.25">
      <c r="A475" s="24">
        <f t="shared" si="185"/>
        <v>474</v>
      </c>
      <c r="B475" s="27" t="s">
        <v>1038</v>
      </c>
      <c r="C475" s="25" t="s">
        <v>1039</v>
      </c>
      <c r="D475" s="27" t="s">
        <v>1448</v>
      </c>
      <c r="E475" s="25" t="s">
        <v>998</v>
      </c>
      <c r="F475" s="25" t="s">
        <v>71</v>
      </c>
      <c r="G475" s="25" t="s">
        <v>86</v>
      </c>
      <c r="H475" s="25" t="s">
        <v>87</v>
      </c>
      <c r="I475" s="25" t="s">
        <v>110</v>
      </c>
      <c r="J475" s="25" t="s">
        <v>38</v>
      </c>
      <c r="K475" s="25">
        <v>60</v>
      </c>
      <c r="L475" s="25" t="s">
        <v>39</v>
      </c>
      <c r="M475" s="25" t="s">
        <v>58</v>
      </c>
      <c r="N475" s="23" t="s">
        <v>55</v>
      </c>
      <c r="O475" s="23" t="s">
        <v>59</v>
      </c>
      <c r="P475" s="23" t="s">
        <v>60</v>
      </c>
      <c r="Q475" s="23">
        <v>3</v>
      </c>
      <c r="R475" s="23" t="s">
        <v>61</v>
      </c>
      <c r="S475" s="23"/>
      <c r="T475" s="23">
        <v>95</v>
      </c>
      <c r="U475" s="23" t="s">
        <v>58</v>
      </c>
      <c r="V475" s="23" t="s">
        <v>946</v>
      </c>
      <c r="W475" s="23"/>
      <c r="X475" s="23" t="e">
        <f>IF(COUNTIF(#REF!,_xlfn.TEXTJOIN(".",,C475,F475,H475)),"是","否")</f>
        <v>#REF!</v>
      </c>
      <c r="Y475" s="23" t="e">
        <f t="shared" si="186"/>
        <v>#REF!</v>
      </c>
      <c r="Z475" s="1"/>
      <c r="AA475" s="38"/>
      <c r="AB475" s="38"/>
      <c r="AC475" s="38"/>
      <c r="AD475" s="38"/>
      <c r="AE475" s="38"/>
      <c r="AF475" s="38"/>
      <c r="AG475" s="38"/>
      <c r="AH475" s="38"/>
      <c r="AI475" s="38"/>
      <c r="AJ475" s="1"/>
      <c r="AK475" s="1" t="s">
        <v>152</v>
      </c>
      <c r="AL475" s="1"/>
    </row>
    <row r="476" spans="1:38" hidden="1" x14ac:dyDescent="0.25">
      <c r="A476" s="24">
        <f t="shared" si="185"/>
        <v>475</v>
      </c>
      <c r="B476" s="27" t="s">
        <v>1038</v>
      </c>
      <c r="C476" s="25" t="s">
        <v>1039</v>
      </c>
      <c r="D476" s="27" t="s">
        <v>1448</v>
      </c>
      <c r="E476" s="25" t="s">
        <v>998</v>
      </c>
      <c r="F476" s="25" t="s">
        <v>71</v>
      </c>
      <c r="G476" s="25" t="s">
        <v>1043</v>
      </c>
      <c r="H476" s="25" t="s">
        <v>1044</v>
      </c>
      <c r="I476" s="22" t="s">
        <v>1045</v>
      </c>
      <c r="J476" s="22" t="s">
        <v>38</v>
      </c>
      <c r="K476" s="22">
        <v>60</v>
      </c>
      <c r="L476" s="22" t="s">
        <v>39</v>
      </c>
      <c r="M476" s="22" t="s">
        <v>58</v>
      </c>
      <c r="N476" s="23" t="s">
        <v>55</v>
      </c>
      <c r="O476" s="23" t="s">
        <v>59</v>
      </c>
      <c r="P476" s="23" t="s">
        <v>60</v>
      </c>
      <c r="Q476" s="23">
        <v>5</v>
      </c>
      <c r="R476" s="23" t="s">
        <v>61</v>
      </c>
      <c r="S476" s="23">
        <v>0</v>
      </c>
      <c r="T476" s="23"/>
      <c r="U476" s="23" t="s">
        <v>58</v>
      </c>
      <c r="V476" s="23" t="s">
        <v>151</v>
      </c>
      <c r="W476" s="23"/>
      <c r="X476" s="23" t="e">
        <f>IF(COUNTIF(#REF!,_xlfn.TEXTJOIN(".",,C476,F476,H476)),"是","否")</f>
        <v>#REF!</v>
      </c>
      <c r="Y476" s="23" t="e">
        <f t="shared" si="186"/>
        <v>#REF!</v>
      </c>
      <c r="Z476" s="1"/>
      <c r="AA476" s="38"/>
      <c r="AB476" s="38"/>
      <c r="AC476" s="38"/>
      <c r="AD476" s="38"/>
      <c r="AE476" s="38"/>
      <c r="AF476" s="38"/>
      <c r="AG476" s="38"/>
      <c r="AH476" s="38"/>
      <c r="AI476" s="38"/>
      <c r="AJ476" s="1"/>
      <c r="AK476" s="1" t="s">
        <v>302</v>
      </c>
      <c r="AL476" s="1"/>
    </row>
    <row r="477" spans="1:38" hidden="1" x14ac:dyDescent="0.25">
      <c r="A477" s="24">
        <f t="shared" si="185"/>
        <v>476</v>
      </c>
      <c r="B477" s="27" t="s">
        <v>1038</v>
      </c>
      <c r="C477" s="25" t="s">
        <v>1039</v>
      </c>
      <c r="D477" s="27" t="s">
        <v>1448</v>
      </c>
      <c r="E477" s="25" t="s">
        <v>998</v>
      </c>
      <c r="F477" s="25" t="s">
        <v>71</v>
      </c>
      <c r="G477" s="25" t="s">
        <v>1046</v>
      </c>
      <c r="H477" s="25" t="s">
        <v>1047</v>
      </c>
      <c r="I477" s="22" t="s">
        <v>1048</v>
      </c>
      <c r="J477" s="22" t="s">
        <v>38</v>
      </c>
      <c r="K477" s="22">
        <v>60</v>
      </c>
      <c r="L477" s="22" t="s">
        <v>39</v>
      </c>
      <c r="M477" s="22" t="s">
        <v>58</v>
      </c>
      <c r="N477" s="23" t="s">
        <v>55</v>
      </c>
      <c r="O477" s="23" t="s">
        <v>59</v>
      </c>
      <c r="P477" s="23" t="s">
        <v>60</v>
      </c>
      <c r="Q477" s="23">
        <v>5</v>
      </c>
      <c r="R477" s="23" t="s">
        <v>61</v>
      </c>
      <c r="S477" s="23">
        <v>0</v>
      </c>
      <c r="T477" s="23"/>
      <c r="U477" s="23" t="s">
        <v>58</v>
      </c>
      <c r="V477" s="23" t="s">
        <v>151</v>
      </c>
      <c r="W477" s="23"/>
      <c r="X477" s="23" t="e">
        <f>IF(COUNTIF(#REF!,_xlfn.TEXTJOIN(".",,C477,F477,H477)),"是","否")</f>
        <v>#REF!</v>
      </c>
      <c r="Y477" s="23" t="e">
        <f t="shared" si="186"/>
        <v>#REF!</v>
      </c>
      <c r="Z477" s="1"/>
      <c r="AA477" s="38"/>
      <c r="AB477" s="38"/>
      <c r="AC477" s="38"/>
      <c r="AD477" s="38"/>
      <c r="AE477" s="38"/>
      <c r="AF477" s="38"/>
      <c r="AG477" s="38"/>
      <c r="AH477" s="38"/>
      <c r="AI477" s="38"/>
      <c r="AJ477" s="1"/>
      <c r="AK477" s="1" t="s">
        <v>302</v>
      </c>
      <c r="AL477" s="1"/>
    </row>
    <row r="478" spans="1:38" hidden="1" x14ac:dyDescent="0.25">
      <c r="A478" s="24">
        <f t="shared" si="185"/>
        <v>477</v>
      </c>
      <c r="B478" s="27" t="s">
        <v>1038</v>
      </c>
      <c r="C478" s="25" t="s">
        <v>1039</v>
      </c>
      <c r="D478" s="27" t="s">
        <v>1448</v>
      </c>
      <c r="E478" s="25" t="s">
        <v>998</v>
      </c>
      <c r="F478" s="25" t="s">
        <v>71</v>
      </c>
      <c r="G478" s="25" t="s">
        <v>1049</v>
      </c>
      <c r="H478" s="25" t="s">
        <v>1050</v>
      </c>
      <c r="I478" s="22" t="s">
        <v>1051</v>
      </c>
      <c r="J478" s="22" t="s">
        <v>38</v>
      </c>
      <c r="K478" s="22">
        <v>60</v>
      </c>
      <c r="L478" s="22" t="s">
        <v>39</v>
      </c>
      <c r="M478" s="22" t="s">
        <v>58</v>
      </c>
      <c r="N478" s="23" t="s">
        <v>55</v>
      </c>
      <c r="O478" s="23" t="s">
        <v>59</v>
      </c>
      <c r="P478" s="23" t="s">
        <v>60</v>
      </c>
      <c r="Q478" s="23">
        <v>5</v>
      </c>
      <c r="R478" s="23" t="s">
        <v>61</v>
      </c>
      <c r="S478" s="23">
        <v>0</v>
      </c>
      <c r="T478" s="23"/>
      <c r="U478" s="23" t="s">
        <v>58</v>
      </c>
      <c r="V478" s="23" t="s">
        <v>151</v>
      </c>
      <c r="W478" s="23"/>
      <c r="X478" s="23" t="e">
        <f>IF(COUNTIF(#REF!,_xlfn.TEXTJOIN(".",,C478,F478,H478)),"是","否")</f>
        <v>#REF!</v>
      </c>
      <c r="Y478" s="23" t="e">
        <f t="shared" si="186"/>
        <v>#REF!</v>
      </c>
      <c r="Z478" s="1"/>
      <c r="AA478" s="38"/>
      <c r="AB478" s="38"/>
      <c r="AC478" s="38"/>
      <c r="AD478" s="38"/>
      <c r="AE478" s="38"/>
      <c r="AF478" s="38"/>
      <c r="AG478" s="38"/>
      <c r="AH478" s="38"/>
      <c r="AI478" s="38"/>
      <c r="AJ478" s="1"/>
      <c r="AK478" s="1" t="s">
        <v>302</v>
      </c>
      <c r="AL478" s="1"/>
    </row>
    <row r="479" spans="1:38" hidden="1" x14ac:dyDescent="0.25">
      <c r="A479" s="24">
        <f t="shared" si="185"/>
        <v>478</v>
      </c>
      <c r="B479" s="27" t="s">
        <v>1038</v>
      </c>
      <c r="C479" s="25" t="s">
        <v>1039</v>
      </c>
      <c r="D479" s="27" t="s">
        <v>1448</v>
      </c>
      <c r="E479" s="25" t="s">
        <v>998</v>
      </c>
      <c r="F479" s="25" t="s">
        <v>71</v>
      </c>
      <c r="G479" s="25" t="s">
        <v>1052</v>
      </c>
      <c r="H479" s="25" t="s">
        <v>1053</v>
      </c>
      <c r="I479" s="22" t="s">
        <v>1054</v>
      </c>
      <c r="J479" s="22" t="s">
        <v>38</v>
      </c>
      <c r="K479" s="22">
        <v>60</v>
      </c>
      <c r="L479" s="22" t="s">
        <v>39</v>
      </c>
      <c r="M479" s="22" t="s">
        <v>58</v>
      </c>
      <c r="N479" s="23" t="s">
        <v>55</v>
      </c>
      <c r="O479" s="23" t="s">
        <v>59</v>
      </c>
      <c r="P479" s="23" t="s">
        <v>60</v>
      </c>
      <c r="Q479" s="23">
        <v>5</v>
      </c>
      <c r="R479" s="23" t="s">
        <v>61</v>
      </c>
      <c r="S479" s="23">
        <v>0</v>
      </c>
      <c r="T479" s="23"/>
      <c r="U479" s="23" t="s">
        <v>58</v>
      </c>
      <c r="V479" s="23" t="s">
        <v>151</v>
      </c>
      <c r="W479" s="23"/>
      <c r="X479" s="23" t="e">
        <f>IF(COUNTIF(#REF!,_xlfn.TEXTJOIN(".",,C479,F479,H479)),"是","否")</f>
        <v>#REF!</v>
      </c>
      <c r="Y479" s="23" t="e">
        <f t="shared" si="186"/>
        <v>#REF!</v>
      </c>
      <c r="Z479" s="1"/>
      <c r="AA479" s="38"/>
      <c r="AB479" s="38"/>
      <c r="AC479" s="38"/>
      <c r="AD479" s="38"/>
      <c r="AE479" s="38"/>
      <c r="AF479" s="38"/>
      <c r="AG479" s="38"/>
      <c r="AH479" s="38"/>
      <c r="AI479" s="38"/>
      <c r="AJ479" s="1"/>
      <c r="AK479" s="1" t="s">
        <v>302</v>
      </c>
      <c r="AL479" s="1"/>
    </row>
    <row r="480" spans="1:38" hidden="1" x14ac:dyDescent="0.25">
      <c r="A480" s="24">
        <f t="shared" si="185"/>
        <v>479</v>
      </c>
      <c r="B480" s="27" t="s">
        <v>1038</v>
      </c>
      <c r="C480" s="25" t="s">
        <v>1039</v>
      </c>
      <c r="D480" s="27" t="s">
        <v>1448</v>
      </c>
      <c r="E480" s="25" t="s">
        <v>998</v>
      </c>
      <c r="F480" s="25" t="s">
        <v>71</v>
      </c>
      <c r="G480" s="25" t="s">
        <v>1055</v>
      </c>
      <c r="H480" s="25" t="s">
        <v>1056</v>
      </c>
      <c r="I480" s="22" t="s">
        <v>1057</v>
      </c>
      <c r="J480" s="22" t="s">
        <v>38</v>
      </c>
      <c r="K480" s="22">
        <v>60</v>
      </c>
      <c r="L480" s="22" t="s">
        <v>39</v>
      </c>
      <c r="M480" s="22" t="s">
        <v>172</v>
      </c>
      <c r="N480" s="23" t="s">
        <v>55</v>
      </c>
      <c r="O480" s="23" t="s">
        <v>59</v>
      </c>
      <c r="P480" s="23" t="s">
        <v>60</v>
      </c>
      <c r="Q480" s="23">
        <v>5</v>
      </c>
      <c r="R480" s="23" t="s">
        <v>61</v>
      </c>
      <c r="S480" s="23">
        <v>0</v>
      </c>
      <c r="T480" s="23"/>
      <c r="U480" s="23" t="s">
        <v>172</v>
      </c>
      <c r="V480" s="23" t="s">
        <v>62</v>
      </c>
      <c r="W480" s="23"/>
      <c r="X480" s="23" t="e">
        <f>IF(COUNTIF(#REF!,_xlfn.TEXTJOIN(".",,C480,F480,H480)),"是","否")</f>
        <v>#REF!</v>
      </c>
      <c r="Y480" s="23" t="e">
        <f t="shared" si="186"/>
        <v>#REF!</v>
      </c>
      <c r="Z480" s="1"/>
      <c r="AA480" s="38"/>
      <c r="AB480" s="38"/>
      <c r="AC480" s="38"/>
      <c r="AD480" s="38"/>
      <c r="AE480" s="38"/>
      <c r="AF480" s="38"/>
      <c r="AG480" s="38"/>
      <c r="AH480" s="38"/>
      <c r="AI480" s="38"/>
      <c r="AJ480" s="1"/>
      <c r="AK480" s="1" t="s">
        <v>302</v>
      </c>
      <c r="AL480" s="1"/>
    </row>
    <row r="481" spans="1:38" hidden="1" x14ac:dyDescent="0.25">
      <c r="A481" s="24">
        <f t="shared" si="185"/>
        <v>480</v>
      </c>
      <c r="B481" s="27" t="s">
        <v>1038</v>
      </c>
      <c r="C481" s="25" t="s">
        <v>1039</v>
      </c>
      <c r="D481" s="27" t="s">
        <v>1448</v>
      </c>
      <c r="E481" s="25" t="s">
        <v>998</v>
      </c>
      <c r="F481" s="25" t="s">
        <v>71</v>
      </c>
      <c r="G481" s="25" t="s">
        <v>1058</v>
      </c>
      <c r="H481" s="25" t="s">
        <v>1059</v>
      </c>
      <c r="I481" s="22" t="s">
        <v>1060</v>
      </c>
      <c r="J481" s="22" t="s">
        <v>38</v>
      </c>
      <c r="K481" s="22">
        <v>60</v>
      </c>
      <c r="L481" s="22"/>
      <c r="M481" s="22" t="s">
        <v>44</v>
      </c>
      <c r="N481" s="23" t="s">
        <v>55</v>
      </c>
      <c r="O481" s="23" t="s">
        <v>59</v>
      </c>
      <c r="P481" s="23" t="s">
        <v>60</v>
      </c>
      <c r="Q481" s="23">
        <v>3</v>
      </c>
      <c r="R481" s="23" t="s">
        <v>240</v>
      </c>
      <c r="S481" s="23">
        <v>5000</v>
      </c>
      <c r="T481" s="23">
        <v>10000</v>
      </c>
      <c r="U481" s="23" t="s">
        <v>44</v>
      </c>
      <c r="V481" s="23" t="s">
        <v>62</v>
      </c>
      <c r="W481" s="23"/>
      <c r="X481" s="23" t="e">
        <f>IF(COUNTIF(#REF!,_xlfn.TEXTJOIN(".",,C481,F481,H481)),"是","否")</f>
        <v>#REF!</v>
      </c>
      <c r="Y481" s="23" t="e">
        <f t="shared" si="186"/>
        <v>#REF!</v>
      </c>
      <c r="Z481" s="1"/>
      <c r="AA481" s="38"/>
      <c r="AB481" s="38"/>
      <c r="AC481" s="38"/>
      <c r="AD481" s="38"/>
      <c r="AE481" s="38"/>
      <c r="AF481" s="38"/>
      <c r="AG481" s="38"/>
      <c r="AH481" s="38"/>
      <c r="AI481" s="38"/>
      <c r="AJ481" s="1"/>
      <c r="AK481" s="1" t="s">
        <v>302</v>
      </c>
      <c r="AL481" s="1"/>
    </row>
    <row r="482" spans="1:38" hidden="1" x14ac:dyDescent="0.25">
      <c r="A482" s="24">
        <f t="shared" si="185"/>
        <v>481</v>
      </c>
      <c r="B482" s="27" t="s">
        <v>1038</v>
      </c>
      <c r="C482" s="25" t="s">
        <v>1039</v>
      </c>
      <c r="D482" s="27" t="s">
        <v>1448</v>
      </c>
      <c r="E482" s="25" t="s">
        <v>1061</v>
      </c>
      <c r="F482" s="25" t="s">
        <v>1062</v>
      </c>
      <c r="G482" s="25" t="s">
        <v>1043</v>
      </c>
      <c r="H482" s="25" t="s">
        <v>1044</v>
      </c>
      <c r="I482" s="25" t="s">
        <v>1045</v>
      </c>
      <c r="J482" s="25" t="s">
        <v>38</v>
      </c>
      <c r="K482" s="25">
        <v>60</v>
      </c>
      <c r="L482" s="25" t="s">
        <v>39</v>
      </c>
      <c r="M482" s="25" t="s">
        <v>58</v>
      </c>
      <c r="N482" s="23" t="s">
        <v>55</v>
      </c>
      <c r="O482" s="23" t="s">
        <v>59</v>
      </c>
      <c r="P482" s="23" t="s">
        <v>60</v>
      </c>
      <c r="Q482" s="23">
        <v>5</v>
      </c>
      <c r="R482" s="23" t="s">
        <v>61</v>
      </c>
      <c r="S482" s="23">
        <v>0</v>
      </c>
      <c r="T482" s="23"/>
      <c r="U482" s="23" t="s">
        <v>58</v>
      </c>
      <c r="V482" s="23" t="s">
        <v>459</v>
      </c>
      <c r="W482" s="23"/>
      <c r="X482" s="23" t="e">
        <f>IF(COUNTIF(#REF!,_xlfn.TEXTJOIN(".",,C482,F482,H482)),"是","否")</f>
        <v>#REF!</v>
      </c>
      <c r="Y482" s="23" t="e">
        <f t="shared" si="186"/>
        <v>#REF!</v>
      </c>
      <c r="Z482" s="1"/>
      <c r="AA482" s="38"/>
      <c r="AB482" s="38"/>
      <c r="AC482" s="38"/>
      <c r="AD482" s="38"/>
      <c r="AE482" s="38"/>
      <c r="AF482" s="38"/>
      <c r="AG482" s="38"/>
      <c r="AH482" s="38"/>
      <c r="AI482" s="38"/>
      <c r="AJ482" s="1"/>
      <c r="AK482" s="1"/>
      <c r="AL482" s="1"/>
    </row>
    <row r="483" spans="1:38" hidden="1" x14ac:dyDescent="0.25">
      <c r="A483" s="24">
        <f t="shared" si="185"/>
        <v>482</v>
      </c>
      <c r="B483" s="27" t="s">
        <v>1038</v>
      </c>
      <c r="C483" s="25" t="s">
        <v>1039</v>
      </c>
      <c r="D483" s="27" t="s">
        <v>1448</v>
      </c>
      <c r="E483" s="25" t="s">
        <v>1061</v>
      </c>
      <c r="F483" s="25" t="s">
        <v>1062</v>
      </c>
      <c r="G483" s="25" t="s">
        <v>1046</v>
      </c>
      <c r="H483" s="25" t="s">
        <v>1047</v>
      </c>
      <c r="I483" s="25" t="s">
        <v>1048</v>
      </c>
      <c r="J483" s="25" t="s">
        <v>38</v>
      </c>
      <c r="K483" s="25">
        <v>60</v>
      </c>
      <c r="L483" s="25" t="s">
        <v>39</v>
      </c>
      <c r="M483" s="25" t="s">
        <v>58</v>
      </c>
      <c r="N483" s="23" t="s">
        <v>55</v>
      </c>
      <c r="O483" s="23" t="s">
        <v>59</v>
      </c>
      <c r="P483" s="23" t="s">
        <v>60</v>
      </c>
      <c r="Q483" s="23">
        <v>5</v>
      </c>
      <c r="R483" s="23" t="s">
        <v>61</v>
      </c>
      <c r="S483" s="23">
        <v>0</v>
      </c>
      <c r="T483" s="23"/>
      <c r="U483" s="23" t="s">
        <v>58</v>
      </c>
      <c r="V483" s="23" t="s">
        <v>459</v>
      </c>
      <c r="W483" s="23"/>
      <c r="X483" s="23" t="e">
        <f>IF(COUNTIF(#REF!,_xlfn.TEXTJOIN(".",,C483,F483,H483)),"是","否")</f>
        <v>#REF!</v>
      </c>
      <c r="Y483" s="23" t="e">
        <f t="shared" si="186"/>
        <v>#REF!</v>
      </c>
      <c r="Z483" s="1"/>
      <c r="AA483" s="38"/>
      <c r="AB483" s="38"/>
      <c r="AC483" s="38"/>
      <c r="AD483" s="38"/>
      <c r="AE483" s="38"/>
      <c r="AF483" s="38"/>
      <c r="AG483" s="38"/>
      <c r="AH483" s="38"/>
      <c r="AI483" s="38"/>
      <c r="AJ483" s="1"/>
      <c r="AK483" s="1"/>
      <c r="AL483" s="1"/>
    </row>
    <row r="484" spans="1:38" hidden="1" x14ac:dyDescent="0.25">
      <c r="A484" s="24">
        <f t="shared" si="185"/>
        <v>483</v>
      </c>
      <c r="B484" s="27" t="s">
        <v>1038</v>
      </c>
      <c r="C484" s="25" t="s">
        <v>1039</v>
      </c>
      <c r="D484" s="27" t="s">
        <v>1448</v>
      </c>
      <c r="E484" s="25" t="s">
        <v>1061</v>
      </c>
      <c r="F484" s="25" t="s">
        <v>1062</v>
      </c>
      <c r="G484" s="25" t="s">
        <v>1049</v>
      </c>
      <c r="H484" s="25" t="s">
        <v>1050</v>
      </c>
      <c r="I484" s="25" t="s">
        <v>1051</v>
      </c>
      <c r="J484" s="25" t="s">
        <v>38</v>
      </c>
      <c r="K484" s="25">
        <v>60</v>
      </c>
      <c r="L484" s="25" t="s">
        <v>39</v>
      </c>
      <c r="M484" s="25" t="s">
        <v>58</v>
      </c>
      <c r="N484" s="23" t="s">
        <v>55</v>
      </c>
      <c r="O484" s="23" t="s">
        <v>59</v>
      </c>
      <c r="P484" s="23" t="s">
        <v>60</v>
      </c>
      <c r="Q484" s="23">
        <v>5</v>
      </c>
      <c r="R484" s="23" t="s">
        <v>61</v>
      </c>
      <c r="S484" s="23">
        <v>0</v>
      </c>
      <c r="T484" s="23"/>
      <c r="U484" s="23" t="s">
        <v>58</v>
      </c>
      <c r="V484" s="23" t="s">
        <v>459</v>
      </c>
      <c r="W484" s="23"/>
      <c r="X484" s="23" t="e">
        <f>IF(COUNTIF(#REF!,_xlfn.TEXTJOIN(".",,C484,F484,H484)),"是","否")</f>
        <v>#REF!</v>
      </c>
      <c r="Y484" s="23" t="e">
        <f t="shared" si="186"/>
        <v>#REF!</v>
      </c>
      <c r="Z484" s="1"/>
      <c r="AA484" s="38"/>
      <c r="AB484" s="38"/>
      <c r="AC484" s="38"/>
      <c r="AD484" s="38"/>
      <c r="AE484" s="38"/>
      <c r="AF484" s="38"/>
      <c r="AG484" s="38"/>
      <c r="AH484" s="38"/>
      <c r="AI484" s="38"/>
      <c r="AJ484" s="1"/>
      <c r="AK484" s="1"/>
      <c r="AL484" s="1"/>
    </row>
    <row r="485" spans="1:38" hidden="1" x14ac:dyDescent="0.25">
      <c r="A485" s="24">
        <f t="shared" si="185"/>
        <v>484</v>
      </c>
      <c r="B485" s="27" t="s">
        <v>1038</v>
      </c>
      <c r="C485" s="25" t="s">
        <v>1039</v>
      </c>
      <c r="D485" s="27" t="s">
        <v>1448</v>
      </c>
      <c r="E485" s="25" t="s">
        <v>1061</v>
      </c>
      <c r="F485" s="25" t="s">
        <v>1062</v>
      </c>
      <c r="G485" s="25" t="s">
        <v>1052</v>
      </c>
      <c r="H485" s="25" t="s">
        <v>1053</v>
      </c>
      <c r="I485" s="25" t="s">
        <v>1054</v>
      </c>
      <c r="J485" s="25" t="s">
        <v>38</v>
      </c>
      <c r="K485" s="25">
        <v>60</v>
      </c>
      <c r="L485" s="25" t="s">
        <v>39</v>
      </c>
      <c r="M485" s="25" t="s">
        <v>58</v>
      </c>
      <c r="N485" s="23" t="s">
        <v>55</v>
      </c>
      <c r="O485" s="23" t="s">
        <v>59</v>
      </c>
      <c r="P485" s="23" t="s">
        <v>60</v>
      </c>
      <c r="Q485" s="23">
        <v>5</v>
      </c>
      <c r="R485" s="23" t="s">
        <v>61</v>
      </c>
      <c r="S485" s="23">
        <v>0</v>
      </c>
      <c r="T485" s="23"/>
      <c r="U485" s="23" t="s">
        <v>58</v>
      </c>
      <c r="V485" s="23" t="s">
        <v>459</v>
      </c>
      <c r="W485" s="23"/>
      <c r="X485" s="23" t="e">
        <f>IF(COUNTIF(#REF!,_xlfn.TEXTJOIN(".",,C485,F485,H485)),"是","否")</f>
        <v>#REF!</v>
      </c>
      <c r="Y485" s="23" t="e">
        <f t="shared" si="186"/>
        <v>#REF!</v>
      </c>
      <c r="Z485" s="1"/>
      <c r="AA485" s="38"/>
      <c r="AB485" s="38"/>
      <c r="AC485" s="38"/>
      <c r="AD485" s="38"/>
      <c r="AE485" s="38"/>
      <c r="AF485" s="38"/>
      <c r="AG485" s="38"/>
      <c r="AH485" s="38"/>
      <c r="AI485" s="38"/>
      <c r="AJ485" s="1"/>
      <c r="AK485" s="1"/>
      <c r="AL485" s="1"/>
    </row>
    <row r="486" spans="1:38" hidden="1" x14ac:dyDescent="0.25">
      <c r="A486" s="24">
        <f t="shared" ref="A486:A490" si="187">ROW()-1</f>
        <v>485</v>
      </c>
      <c r="B486" s="27" t="s">
        <v>1038</v>
      </c>
      <c r="C486" s="25" t="s">
        <v>1039</v>
      </c>
      <c r="D486" s="27" t="s">
        <v>1448</v>
      </c>
      <c r="E486" s="25" t="s">
        <v>1063</v>
      </c>
      <c r="F486" s="25" t="s">
        <v>1064</v>
      </c>
      <c r="G486" s="25" t="s">
        <v>92</v>
      </c>
      <c r="H486" s="25" t="s">
        <v>93</v>
      </c>
      <c r="I486" s="22" t="s">
        <v>1065</v>
      </c>
      <c r="J486" s="22" t="s">
        <v>38</v>
      </c>
      <c r="K486" s="22">
        <v>60</v>
      </c>
      <c r="L486" s="22" t="s">
        <v>39</v>
      </c>
      <c r="M486" s="22" t="s">
        <v>58</v>
      </c>
      <c r="N486" s="23" t="s">
        <v>55</v>
      </c>
      <c r="O486" s="23" t="s">
        <v>59</v>
      </c>
      <c r="P486" s="23" t="s">
        <v>60</v>
      </c>
      <c r="Q486" s="23">
        <v>3</v>
      </c>
      <c r="R486" s="23" t="s">
        <v>61</v>
      </c>
      <c r="S486" s="23">
        <v>80</v>
      </c>
      <c r="T486" s="23">
        <v>90</v>
      </c>
      <c r="U486" s="23" t="s">
        <v>58</v>
      </c>
      <c r="V486" s="23" t="s">
        <v>62</v>
      </c>
      <c r="W486" s="23"/>
      <c r="X486" s="23" t="e">
        <f>IF(COUNTIF(#REF!,_xlfn.TEXTJOIN(".",,C486,F486,H486)),"是","否")</f>
        <v>#REF!</v>
      </c>
      <c r="Y486" s="23" t="e">
        <f t="shared" ref="Y486:Y490" si="188">IF(AND(O486="底线指标",X486="是"),"是","否")</f>
        <v>#REF!</v>
      </c>
      <c r="Z486" s="1"/>
      <c r="AA486" s="38"/>
      <c r="AB486" s="38"/>
      <c r="AC486" s="38"/>
      <c r="AD486" s="38"/>
      <c r="AE486" s="38"/>
      <c r="AF486" s="38"/>
      <c r="AG486" s="38"/>
      <c r="AH486" s="38"/>
      <c r="AI486" s="38"/>
      <c r="AJ486" s="1"/>
      <c r="AK486" s="1" t="s">
        <v>152</v>
      </c>
      <c r="AL486" s="1"/>
    </row>
    <row r="487" spans="1:38" hidden="1" x14ac:dyDescent="0.25">
      <c r="A487" s="24">
        <f t="shared" si="187"/>
        <v>486</v>
      </c>
      <c r="B487" s="27" t="s">
        <v>1038</v>
      </c>
      <c r="C487" s="25" t="s">
        <v>1039</v>
      </c>
      <c r="D487" s="27" t="s">
        <v>1448</v>
      </c>
      <c r="E487" s="25" t="s">
        <v>1076</v>
      </c>
      <c r="F487" s="25" t="s">
        <v>1077</v>
      </c>
      <c r="G487" s="25" t="s">
        <v>94</v>
      </c>
      <c r="H487" s="25" t="s">
        <v>95</v>
      </c>
      <c r="I487" s="25" t="s">
        <v>1081</v>
      </c>
      <c r="J487" s="25" t="s">
        <v>38</v>
      </c>
      <c r="K487" s="25">
        <v>60</v>
      </c>
      <c r="L487" s="25" t="s">
        <v>39</v>
      </c>
      <c r="M487" s="25" t="s">
        <v>58</v>
      </c>
      <c r="N487" s="23" t="s">
        <v>55</v>
      </c>
      <c r="O487" s="23" t="s">
        <v>59</v>
      </c>
      <c r="P487" s="23" t="s">
        <v>60</v>
      </c>
      <c r="Q487" s="23">
        <v>3</v>
      </c>
      <c r="R487" s="23" t="s">
        <v>61</v>
      </c>
      <c r="S487" s="23"/>
      <c r="T487" s="23">
        <v>90</v>
      </c>
      <c r="U487" s="23" t="s">
        <v>58</v>
      </c>
      <c r="V487" s="23" t="s">
        <v>946</v>
      </c>
      <c r="W487" s="23"/>
      <c r="X487" s="23" t="e">
        <f>IF(COUNTIF(#REF!,_xlfn.TEXTJOIN(".",,C487,F487,H487)),"是","否")</f>
        <v>#REF!</v>
      </c>
      <c r="Y487" s="23" t="e">
        <f t="shared" si="188"/>
        <v>#REF!</v>
      </c>
      <c r="Z487" s="1"/>
      <c r="AA487" s="38"/>
      <c r="AB487" s="38"/>
      <c r="AC487" s="38"/>
      <c r="AD487" s="38"/>
      <c r="AE487" s="38"/>
      <c r="AF487" s="38"/>
      <c r="AG487" s="38"/>
      <c r="AH487" s="38"/>
      <c r="AI487" s="38"/>
      <c r="AJ487" s="1"/>
      <c r="AK487" s="1" t="s">
        <v>152</v>
      </c>
      <c r="AL487" s="1"/>
    </row>
    <row r="488" spans="1:38" hidden="1" x14ac:dyDescent="0.25">
      <c r="A488" s="24">
        <f t="shared" si="187"/>
        <v>487</v>
      </c>
      <c r="B488" s="27" t="s">
        <v>1038</v>
      </c>
      <c r="C488" s="25" t="s">
        <v>1039</v>
      </c>
      <c r="D488" s="27" t="s">
        <v>1448</v>
      </c>
      <c r="E488" s="25" t="s">
        <v>1076</v>
      </c>
      <c r="F488" s="25" t="s">
        <v>1077</v>
      </c>
      <c r="G488" s="25" t="s">
        <v>90</v>
      </c>
      <c r="H488" s="25" t="s">
        <v>91</v>
      </c>
      <c r="I488" s="25" t="s">
        <v>1083</v>
      </c>
      <c r="J488" s="25" t="s">
        <v>38</v>
      </c>
      <c r="K488" s="25">
        <v>60</v>
      </c>
      <c r="L488" s="25" t="s">
        <v>39</v>
      </c>
      <c r="M488" s="25" t="s">
        <v>58</v>
      </c>
      <c r="N488" s="23" t="s">
        <v>55</v>
      </c>
      <c r="O488" s="23" t="s">
        <v>59</v>
      </c>
      <c r="P488" s="23" t="s">
        <v>60</v>
      </c>
      <c r="Q488" s="23">
        <v>3</v>
      </c>
      <c r="R488" s="23" t="s">
        <v>61</v>
      </c>
      <c r="S488" s="23"/>
      <c r="T488" s="23">
        <v>90</v>
      </c>
      <c r="U488" s="23" t="s">
        <v>58</v>
      </c>
      <c r="V488" s="23" t="s">
        <v>946</v>
      </c>
      <c r="W488" s="23"/>
      <c r="X488" s="23" t="e">
        <f>IF(COUNTIF(#REF!,_xlfn.TEXTJOIN(".",,C488,F488,H488)),"是","否")</f>
        <v>#REF!</v>
      </c>
      <c r="Y488" s="23" t="e">
        <f t="shared" si="188"/>
        <v>#REF!</v>
      </c>
      <c r="Z488" s="1"/>
      <c r="AA488" s="38"/>
      <c r="AB488" s="38"/>
      <c r="AC488" s="38"/>
      <c r="AD488" s="38"/>
      <c r="AE488" s="38"/>
      <c r="AF488" s="38"/>
      <c r="AG488" s="38"/>
      <c r="AH488" s="38"/>
      <c r="AI488" s="38"/>
      <c r="AJ488" s="1"/>
      <c r="AK488" s="1" t="s">
        <v>152</v>
      </c>
      <c r="AL488" s="1"/>
    </row>
    <row r="489" spans="1:38" hidden="1" x14ac:dyDescent="0.25">
      <c r="A489" s="24">
        <f t="shared" si="187"/>
        <v>488</v>
      </c>
      <c r="B489" s="27" t="s">
        <v>1038</v>
      </c>
      <c r="C489" s="25" t="s">
        <v>1039</v>
      </c>
      <c r="D489" s="27" t="s">
        <v>1448</v>
      </c>
      <c r="E489" s="25" t="s">
        <v>1076</v>
      </c>
      <c r="F489" s="25" t="s">
        <v>1077</v>
      </c>
      <c r="G489" s="25" t="s">
        <v>1084</v>
      </c>
      <c r="H489" s="25" t="s">
        <v>1085</v>
      </c>
      <c r="I489" s="25" t="s">
        <v>1086</v>
      </c>
      <c r="J489" s="25" t="s">
        <v>38</v>
      </c>
      <c r="K489" s="25">
        <v>60</v>
      </c>
      <c r="L489" s="25" t="s">
        <v>39</v>
      </c>
      <c r="M489" s="25"/>
      <c r="N489" s="23" t="s">
        <v>55</v>
      </c>
      <c r="O489" s="23" t="s">
        <v>59</v>
      </c>
      <c r="P489" s="23" t="s">
        <v>60</v>
      </c>
      <c r="Q489" s="23">
        <v>2</v>
      </c>
      <c r="R489" s="23" t="s">
        <v>136</v>
      </c>
      <c r="S489" s="23"/>
      <c r="T489" s="23">
        <v>1</v>
      </c>
      <c r="U489" s="23" t="s">
        <v>571</v>
      </c>
      <c r="V489" s="23" t="s">
        <v>946</v>
      </c>
      <c r="W489" s="23"/>
      <c r="X489" s="23" t="e">
        <f>IF(COUNTIF(#REF!,_xlfn.TEXTJOIN(".",,C489,F489,H489)),"是","否")</f>
        <v>#REF!</v>
      </c>
      <c r="Y489" s="23" t="e">
        <f t="shared" si="188"/>
        <v>#REF!</v>
      </c>
      <c r="Z489" s="1"/>
      <c r="AA489" s="38"/>
      <c r="AB489" s="38"/>
      <c r="AC489" s="38"/>
      <c r="AD489" s="38"/>
      <c r="AE489" s="38"/>
      <c r="AF489" s="38"/>
      <c r="AG489" s="38"/>
      <c r="AH489" s="38"/>
      <c r="AI489" s="38"/>
      <c r="AJ489" s="1"/>
      <c r="AK489" s="1" t="s">
        <v>302</v>
      </c>
      <c r="AL489" s="1"/>
    </row>
    <row r="490" spans="1:38" hidden="1" x14ac:dyDescent="0.25">
      <c r="A490" s="24">
        <f t="shared" si="187"/>
        <v>489</v>
      </c>
      <c r="B490" s="27" t="s">
        <v>1038</v>
      </c>
      <c r="C490" s="25" t="s">
        <v>1039</v>
      </c>
      <c r="D490" s="27" t="s">
        <v>1448</v>
      </c>
      <c r="E490" s="25" t="s">
        <v>1076</v>
      </c>
      <c r="F490" s="25" t="s">
        <v>1077</v>
      </c>
      <c r="G490" s="25" t="s">
        <v>92</v>
      </c>
      <c r="H490" s="25" t="s">
        <v>93</v>
      </c>
      <c r="I490" s="25" t="s">
        <v>1065</v>
      </c>
      <c r="J490" s="25" t="s">
        <v>38</v>
      </c>
      <c r="K490" s="25">
        <v>60</v>
      </c>
      <c r="L490" s="25" t="s">
        <v>39</v>
      </c>
      <c r="M490" s="25" t="s">
        <v>58</v>
      </c>
      <c r="N490" s="23" t="s">
        <v>55</v>
      </c>
      <c r="O490" s="23" t="s">
        <v>59</v>
      </c>
      <c r="P490" s="23" t="s">
        <v>60</v>
      </c>
      <c r="Q490" s="23">
        <v>3</v>
      </c>
      <c r="R490" s="23" t="s">
        <v>61</v>
      </c>
      <c r="S490" s="23"/>
      <c r="T490" s="23">
        <v>90</v>
      </c>
      <c r="U490" s="23" t="s">
        <v>58</v>
      </c>
      <c r="V490" s="23" t="s">
        <v>946</v>
      </c>
      <c r="W490" s="23"/>
      <c r="X490" s="23" t="e">
        <f>IF(COUNTIF(#REF!,_xlfn.TEXTJOIN(".",,C490,F490,H490)),"是","否")</f>
        <v>#REF!</v>
      </c>
      <c r="Y490" s="23" t="e">
        <f t="shared" si="188"/>
        <v>#REF!</v>
      </c>
      <c r="Z490" s="1"/>
      <c r="AA490" s="38"/>
      <c r="AB490" s="38"/>
      <c r="AC490" s="38"/>
      <c r="AD490" s="38"/>
      <c r="AE490" s="38"/>
      <c r="AF490" s="38"/>
      <c r="AG490" s="38"/>
      <c r="AH490" s="38"/>
      <c r="AI490" s="38"/>
      <c r="AJ490" s="1"/>
      <c r="AK490" s="1" t="s">
        <v>152</v>
      </c>
      <c r="AL490" s="1"/>
    </row>
    <row r="491" spans="1:38" hidden="1" x14ac:dyDescent="0.25">
      <c r="A491" s="24">
        <f t="shared" ref="A491:A498" si="189">ROW()-1</f>
        <v>490</v>
      </c>
      <c r="B491" s="27" t="s">
        <v>1038</v>
      </c>
      <c r="C491" s="25" t="s">
        <v>1039</v>
      </c>
      <c r="D491" s="27" t="s">
        <v>1448</v>
      </c>
      <c r="E491" s="25" t="s">
        <v>1087</v>
      </c>
      <c r="F491" s="25" t="s">
        <v>1088</v>
      </c>
      <c r="G491" s="25" t="s">
        <v>790</v>
      </c>
      <c r="H491" s="25" t="s">
        <v>791</v>
      </c>
      <c r="I491" s="22" t="s">
        <v>1089</v>
      </c>
      <c r="J491" s="22" t="s">
        <v>38</v>
      </c>
      <c r="K491" s="22">
        <v>60</v>
      </c>
      <c r="L491" s="22" t="s">
        <v>39</v>
      </c>
      <c r="M491" s="22"/>
      <c r="N491" s="23" t="s">
        <v>55</v>
      </c>
      <c r="O491" s="23" t="s">
        <v>59</v>
      </c>
      <c r="P491" s="23" t="s">
        <v>60</v>
      </c>
      <c r="Q491" s="23">
        <v>1</v>
      </c>
      <c r="R491" s="23" t="s">
        <v>136</v>
      </c>
      <c r="S491" s="23">
        <v>2</v>
      </c>
      <c r="T491" s="23">
        <v>3</v>
      </c>
      <c r="U491" s="23" t="s">
        <v>571</v>
      </c>
      <c r="V491" s="23" t="s">
        <v>62</v>
      </c>
      <c r="W491" s="23" t="s">
        <v>1449</v>
      </c>
      <c r="X491" s="23" t="e">
        <f>IF(COUNTIF(#REF!,_xlfn.TEXTJOIN(".",,C491,F491,H491)),"是","否")</f>
        <v>#REF!</v>
      </c>
      <c r="Y491" s="23" t="e">
        <f t="shared" ref="Y491:Y498" si="190">IF(AND(O491="底线指标",X491="是"),"是","否")</f>
        <v>#REF!</v>
      </c>
      <c r="Z491" s="1"/>
      <c r="AA491" s="38"/>
      <c r="AB491" s="38"/>
      <c r="AC491" s="38"/>
      <c r="AD491" s="38"/>
      <c r="AE491" s="38"/>
      <c r="AF491" s="38"/>
      <c r="AG491" s="38"/>
      <c r="AH491" s="38"/>
      <c r="AI491" s="38"/>
      <c r="AJ491" s="1"/>
      <c r="AK491" s="1" t="s">
        <v>302</v>
      </c>
      <c r="AL491" s="1"/>
    </row>
    <row r="492" spans="1:38" hidden="1" x14ac:dyDescent="0.25">
      <c r="A492" s="24">
        <f t="shared" si="189"/>
        <v>491</v>
      </c>
      <c r="B492" s="27" t="s">
        <v>1038</v>
      </c>
      <c r="C492" s="25" t="s">
        <v>1039</v>
      </c>
      <c r="D492" s="27" t="s">
        <v>1448</v>
      </c>
      <c r="E492" s="25" t="s">
        <v>1087</v>
      </c>
      <c r="F492" s="25" t="s">
        <v>1088</v>
      </c>
      <c r="G492" s="25" t="s">
        <v>795</v>
      </c>
      <c r="H492" s="25" t="s">
        <v>796</v>
      </c>
      <c r="I492" s="25" t="s">
        <v>1090</v>
      </c>
      <c r="J492" s="25" t="s">
        <v>38</v>
      </c>
      <c r="K492" s="25">
        <v>60</v>
      </c>
      <c r="L492" s="25" t="s">
        <v>39</v>
      </c>
      <c r="M492" s="25"/>
      <c r="N492" s="23" t="s">
        <v>55</v>
      </c>
      <c r="O492" s="23" t="s">
        <v>59</v>
      </c>
      <c r="P492" s="23" t="s">
        <v>60</v>
      </c>
      <c r="Q492" s="23">
        <v>5</v>
      </c>
      <c r="R492" s="23" t="s">
        <v>1155</v>
      </c>
      <c r="S492" s="23" t="s">
        <v>1450</v>
      </c>
      <c r="T492" s="23" t="s">
        <v>1110</v>
      </c>
      <c r="U492" s="23" t="s">
        <v>571</v>
      </c>
      <c r="V492" s="23" t="s">
        <v>946</v>
      </c>
      <c r="W492" s="23" t="s">
        <v>1449</v>
      </c>
      <c r="X492" s="23" t="e">
        <f>IF(COUNTIF(#REF!,_xlfn.TEXTJOIN(".",,C492,F492,H492)),"是","否")</f>
        <v>#REF!</v>
      </c>
      <c r="Y492" s="23" t="e">
        <f t="shared" si="190"/>
        <v>#REF!</v>
      </c>
      <c r="Z492" s="1"/>
      <c r="AA492" s="38"/>
      <c r="AB492" s="38"/>
      <c r="AC492" s="38"/>
      <c r="AD492" s="38"/>
      <c r="AE492" s="38"/>
      <c r="AF492" s="38"/>
      <c r="AG492" s="38"/>
      <c r="AH492" s="38"/>
      <c r="AI492" s="38"/>
      <c r="AJ492" s="1"/>
      <c r="AK492" s="1" t="s">
        <v>302</v>
      </c>
      <c r="AL492" s="1"/>
    </row>
    <row r="493" spans="1:38" hidden="1" x14ac:dyDescent="0.25">
      <c r="A493" s="24">
        <f t="shared" si="189"/>
        <v>492</v>
      </c>
      <c r="B493" s="27" t="s">
        <v>1038</v>
      </c>
      <c r="C493" s="25" t="s">
        <v>1039</v>
      </c>
      <c r="D493" s="27" t="s">
        <v>1448</v>
      </c>
      <c r="E493" s="25" t="s">
        <v>1087</v>
      </c>
      <c r="F493" s="25" t="s">
        <v>1088</v>
      </c>
      <c r="G493" s="25" t="s">
        <v>792</v>
      </c>
      <c r="H493" s="25" t="s">
        <v>793</v>
      </c>
      <c r="I493" s="25" t="s">
        <v>1091</v>
      </c>
      <c r="J493" s="25" t="s">
        <v>38</v>
      </c>
      <c r="K493" s="25">
        <v>60</v>
      </c>
      <c r="L493" s="25" t="s">
        <v>39</v>
      </c>
      <c r="M493" s="25" t="s">
        <v>58</v>
      </c>
      <c r="N493" s="23" t="s">
        <v>55</v>
      </c>
      <c r="O493" s="23" t="s">
        <v>59</v>
      </c>
      <c r="P493" s="23" t="s">
        <v>60</v>
      </c>
      <c r="Q493" s="23">
        <v>10</v>
      </c>
      <c r="R493" s="23" t="s">
        <v>61</v>
      </c>
      <c r="S493" s="23" t="s">
        <v>1451</v>
      </c>
      <c r="T493" s="23" t="s">
        <v>1110</v>
      </c>
      <c r="U493" s="23" t="s">
        <v>58</v>
      </c>
      <c r="V493" s="23" t="s">
        <v>946</v>
      </c>
      <c r="W493" s="23" t="s">
        <v>1449</v>
      </c>
      <c r="X493" s="23" t="e">
        <f>IF(COUNTIF(#REF!,_xlfn.TEXTJOIN(".",,C493,F493,H493)),"是","否")</f>
        <v>#REF!</v>
      </c>
      <c r="Y493" s="23" t="e">
        <f t="shared" si="190"/>
        <v>#REF!</v>
      </c>
      <c r="Z493" s="1"/>
      <c r="AA493" s="38"/>
      <c r="AB493" s="38"/>
      <c r="AC493" s="38"/>
      <c r="AD493" s="38"/>
      <c r="AE493" s="38"/>
      <c r="AF493" s="38"/>
      <c r="AG493" s="38"/>
      <c r="AH493" s="38"/>
      <c r="AI493" s="38"/>
      <c r="AJ493" s="1"/>
      <c r="AK493" s="1" t="s">
        <v>152</v>
      </c>
      <c r="AL493" s="1"/>
    </row>
    <row r="494" spans="1:38" hidden="1" x14ac:dyDescent="0.25">
      <c r="A494" s="24">
        <f t="shared" si="189"/>
        <v>493</v>
      </c>
      <c r="B494" s="27" t="s">
        <v>1038</v>
      </c>
      <c r="C494" s="25" t="s">
        <v>1039</v>
      </c>
      <c r="D494" s="27" t="s">
        <v>1448</v>
      </c>
      <c r="E494" s="25" t="s">
        <v>1087</v>
      </c>
      <c r="F494" s="25" t="s">
        <v>1088</v>
      </c>
      <c r="G494" s="25" t="s">
        <v>803</v>
      </c>
      <c r="H494" s="25" t="s">
        <v>804</v>
      </c>
      <c r="I494" s="25" t="s">
        <v>805</v>
      </c>
      <c r="J494" s="25" t="s">
        <v>38</v>
      </c>
      <c r="K494" s="25">
        <v>60</v>
      </c>
      <c r="L494" s="25" t="s">
        <v>39</v>
      </c>
      <c r="M494" s="25" t="s">
        <v>58</v>
      </c>
      <c r="N494" s="23" t="s">
        <v>55</v>
      </c>
      <c r="O494" s="23" t="s">
        <v>59</v>
      </c>
      <c r="P494" s="23" t="s">
        <v>60</v>
      </c>
      <c r="Q494" s="23">
        <v>10</v>
      </c>
      <c r="R494" s="23" t="s">
        <v>61</v>
      </c>
      <c r="S494" s="23" t="s">
        <v>1451</v>
      </c>
      <c r="T494" s="23" t="s">
        <v>1110</v>
      </c>
      <c r="U494" s="23" t="s">
        <v>58</v>
      </c>
      <c r="V494" s="23" t="s">
        <v>946</v>
      </c>
      <c r="W494" s="23" t="s">
        <v>1449</v>
      </c>
      <c r="X494" s="23" t="e">
        <f>IF(COUNTIF(#REF!,_xlfn.TEXTJOIN(".",,C494,F494,H494)),"是","否")</f>
        <v>#REF!</v>
      </c>
      <c r="Y494" s="23" t="e">
        <f t="shared" si="190"/>
        <v>#REF!</v>
      </c>
      <c r="Z494" s="1"/>
      <c r="AA494" s="38"/>
      <c r="AB494" s="38"/>
      <c r="AC494" s="38"/>
      <c r="AD494" s="38"/>
      <c r="AE494" s="38"/>
      <c r="AF494" s="38"/>
      <c r="AG494" s="38"/>
      <c r="AH494" s="38"/>
      <c r="AI494" s="38"/>
      <c r="AJ494" s="1"/>
      <c r="AK494" s="1" t="s">
        <v>152</v>
      </c>
      <c r="AL494" s="1"/>
    </row>
    <row r="495" spans="1:38" hidden="1" x14ac:dyDescent="0.25">
      <c r="A495" s="24">
        <f t="shared" si="189"/>
        <v>494</v>
      </c>
      <c r="B495" s="27" t="s">
        <v>1038</v>
      </c>
      <c r="C495" s="25" t="s">
        <v>1039</v>
      </c>
      <c r="D495" s="27" t="s">
        <v>1448</v>
      </c>
      <c r="E495" s="25" t="s">
        <v>1087</v>
      </c>
      <c r="F495" s="25" t="s">
        <v>1088</v>
      </c>
      <c r="G495" s="25" t="s">
        <v>797</v>
      </c>
      <c r="H495" s="25" t="s">
        <v>798</v>
      </c>
      <c r="I495" s="25" t="s">
        <v>799</v>
      </c>
      <c r="J495" s="25" t="s">
        <v>38</v>
      </c>
      <c r="K495" s="25">
        <v>60</v>
      </c>
      <c r="L495" s="25" t="s">
        <v>39</v>
      </c>
      <c r="M495" s="25"/>
      <c r="N495" s="23" t="s">
        <v>55</v>
      </c>
      <c r="O495" s="23" t="s">
        <v>59</v>
      </c>
      <c r="P495" s="23" t="s">
        <v>60</v>
      </c>
      <c r="Q495" s="23">
        <v>5</v>
      </c>
      <c r="R495" s="23" t="s">
        <v>136</v>
      </c>
      <c r="S495" s="23" t="s">
        <v>1450</v>
      </c>
      <c r="T495" s="23" t="s">
        <v>1110</v>
      </c>
      <c r="U495" s="23" t="s">
        <v>571</v>
      </c>
      <c r="V495" s="23" t="s">
        <v>946</v>
      </c>
      <c r="W495" s="23" t="s">
        <v>1452</v>
      </c>
      <c r="X495" s="23" t="e">
        <f>IF(COUNTIF(#REF!,_xlfn.TEXTJOIN(".",,C495,F495,H495)),"是","否")</f>
        <v>#REF!</v>
      </c>
      <c r="Y495" s="23" t="e">
        <f t="shared" si="190"/>
        <v>#REF!</v>
      </c>
      <c r="Z495" s="1"/>
      <c r="AA495" s="38"/>
      <c r="AB495" s="38"/>
      <c r="AC495" s="38"/>
      <c r="AD495" s="38"/>
      <c r="AE495" s="38"/>
      <c r="AF495" s="38"/>
      <c r="AG495" s="38"/>
      <c r="AH495" s="38"/>
      <c r="AI495" s="38"/>
      <c r="AJ495" s="1"/>
      <c r="AK495" s="1" t="s">
        <v>302</v>
      </c>
      <c r="AL495" s="1"/>
    </row>
    <row r="496" spans="1:38" hidden="1" x14ac:dyDescent="0.25">
      <c r="A496" s="24">
        <f t="shared" si="189"/>
        <v>495</v>
      </c>
      <c r="B496" s="27" t="s">
        <v>1038</v>
      </c>
      <c r="C496" s="25" t="s">
        <v>1039</v>
      </c>
      <c r="D496" s="27" t="s">
        <v>1448</v>
      </c>
      <c r="E496" s="25" t="s">
        <v>1087</v>
      </c>
      <c r="F496" s="25" t="s">
        <v>1088</v>
      </c>
      <c r="G496" s="25" t="s">
        <v>800</v>
      </c>
      <c r="H496" s="25" t="s">
        <v>801</v>
      </c>
      <c r="I496" s="25" t="s">
        <v>802</v>
      </c>
      <c r="J496" s="25" t="s">
        <v>38</v>
      </c>
      <c r="K496" s="25">
        <v>60</v>
      </c>
      <c r="L496" s="25" t="s">
        <v>39</v>
      </c>
      <c r="M496" s="25" t="s">
        <v>172</v>
      </c>
      <c r="N496" s="23" t="s">
        <v>55</v>
      </c>
      <c r="O496" s="23" t="s">
        <v>59</v>
      </c>
      <c r="P496" s="23" t="s">
        <v>60</v>
      </c>
      <c r="Q496" s="23">
        <v>5</v>
      </c>
      <c r="R496" s="23" t="s">
        <v>240</v>
      </c>
      <c r="S496" s="23" t="s">
        <v>1453</v>
      </c>
      <c r="T496" s="23" t="s">
        <v>1110</v>
      </c>
      <c r="U496" s="23" t="s">
        <v>172</v>
      </c>
      <c r="V496" s="23" t="s">
        <v>946</v>
      </c>
      <c r="W496" s="23" t="s">
        <v>1452</v>
      </c>
      <c r="X496" s="23" t="e">
        <f>IF(COUNTIF(#REF!,_xlfn.TEXTJOIN(".",,C496,F496,H496)),"是","否")</f>
        <v>#REF!</v>
      </c>
      <c r="Y496" s="23" t="e">
        <f t="shared" si="190"/>
        <v>#REF!</v>
      </c>
      <c r="Z496" s="1"/>
      <c r="AA496" s="38"/>
      <c r="AB496" s="38"/>
      <c r="AC496" s="38"/>
      <c r="AD496" s="38"/>
      <c r="AE496" s="38"/>
      <c r="AF496" s="38"/>
      <c r="AG496" s="38"/>
      <c r="AH496" s="38"/>
      <c r="AI496" s="38"/>
      <c r="AJ496" s="1"/>
      <c r="AK496" s="1" t="s">
        <v>302</v>
      </c>
      <c r="AL496" s="1"/>
    </row>
    <row r="497" spans="1:38" hidden="1" x14ac:dyDescent="0.25">
      <c r="A497" s="24">
        <f t="shared" si="189"/>
        <v>496</v>
      </c>
      <c r="B497" s="27" t="s">
        <v>1038</v>
      </c>
      <c r="C497" s="25" t="s">
        <v>1039</v>
      </c>
      <c r="D497" s="27" t="s">
        <v>1448</v>
      </c>
      <c r="E497" s="25" t="s">
        <v>1087</v>
      </c>
      <c r="F497" s="25" t="s">
        <v>1088</v>
      </c>
      <c r="G497" s="25" t="s">
        <v>806</v>
      </c>
      <c r="H497" s="25" t="s">
        <v>807</v>
      </c>
      <c r="I497" s="25" t="s">
        <v>808</v>
      </c>
      <c r="J497" s="25" t="s">
        <v>38</v>
      </c>
      <c r="K497" s="25">
        <v>60</v>
      </c>
      <c r="L497" s="25" t="s">
        <v>39</v>
      </c>
      <c r="M497" s="25" t="s">
        <v>58</v>
      </c>
      <c r="N497" s="23" t="s">
        <v>55</v>
      </c>
      <c r="O497" s="23" t="s">
        <v>59</v>
      </c>
      <c r="P497" s="23" t="s">
        <v>60</v>
      </c>
      <c r="Q497" s="23">
        <v>5</v>
      </c>
      <c r="R497" s="23" t="s">
        <v>61</v>
      </c>
      <c r="S497" s="23" t="s">
        <v>1451</v>
      </c>
      <c r="T497" s="23" t="s">
        <v>1110</v>
      </c>
      <c r="U497" s="23" t="s">
        <v>58</v>
      </c>
      <c r="V497" s="23" t="s">
        <v>946</v>
      </c>
      <c r="W497" s="23" t="s">
        <v>1452</v>
      </c>
      <c r="X497" s="23" t="e">
        <f>IF(COUNTIF(#REF!,_xlfn.TEXTJOIN(".",,C497,F497,H497)),"是","否")</f>
        <v>#REF!</v>
      </c>
      <c r="Y497" s="23" t="e">
        <f t="shared" si="190"/>
        <v>#REF!</v>
      </c>
      <c r="Z497" s="1"/>
      <c r="AA497" s="38"/>
      <c r="AB497" s="38"/>
      <c r="AC497" s="38"/>
      <c r="AD497" s="38"/>
      <c r="AE497" s="38"/>
      <c r="AF497" s="38"/>
      <c r="AG497" s="38"/>
      <c r="AH497" s="38"/>
      <c r="AI497" s="38"/>
      <c r="AJ497" s="1"/>
      <c r="AK497" s="1" t="s">
        <v>152</v>
      </c>
      <c r="AL497" s="1"/>
    </row>
    <row r="498" spans="1:38" ht="23" hidden="1" x14ac:dyDescent="0.25">
      <c r="A498" s="24">
        <f t="shared" si="189"/>
        <v>497</v>
      </c>
      <c r="B498" s="27" t="s">
        <v>1038</v>
      </c>
      <c r="C498" s="25" t="s">
        <v>1039</v>
      </c>
      <c r="D498" s="27" t="s">
        <v>1448</v>
      </c>
      <c r="E498" s="25" t="s">
        <v>1087</v>
      </c>
      <c r="F498" s="25" t="s">
        <v>1088</v>
      </c>
      <c r="G498" s="25" t="s">
        <v>809</v>
      </c>
      <c r="H498" s="25" t="s">
        <v>810</v>
      </c>
      <c r="I498" s="25" t="s">
        <v>811</v>
      </c>
      <c r="J498" s="25" t="s">
        <v>38</v>
      </c>
      <c r="K498" s="25">
        <v>60</v>
      </c>
      <c r="L498" s="25" t="s">
        <v>39</v>
      </c>
      <c r="M498" s="25" t="s">
        <v>794</v>
      </c>
      <c r="N498" s="23" t="s">
        <v>55</v>
      </c>
      <c r="O498" s="23" t="s">
        <v>59</v>
      </c>
      <c r="P498" s="23" t="s">
        <v>60</v>
      </c>
      <c r="Q498" s="23">
        <v>5</v>
      </c>
      <c r="R498" s="34" t="s">
        <v>1454</v>
      </c>
      <c r="S498" s="23" t="s">
        <v>1110</v>
      </c>
      <c r="T498" s="34" t="s">
        <v>1455</v>
      </c>
      <c r="U498" s="23" t="s">
        <v>794</v>
      </c>
      <c r="V498" s="23" t="s">
        <v>946</v>
      </c>
      <c r="W498" s="23" t="s">
        <v>1456</v>
      </c>
      <c r="X498" s="23" t="e">
        <f>IF(COUNTIF(#REF!,_xlfn.TEXTJOIN(".",,C498,F498,H498)),"是","否")</f>
        <v>#REF!</v>
      </c>
      <c r="Y498" s="23" t="e">
        <f t="shared" si="190"/>
        <v>#REF!</v>
      </c>
      <c r="Z498" s="1"/>
      <c r="AA498" s="38"/>
      <c r="AB498" s="38"/>
      <c r="AC498" s="38"/>
      <c r="AD498" s="38"/>
      <c r="AE498" s="38"/>
      <c r="AF498" s="38"/>
      <c r="AG498" s="38"/>
      <c r="AH498" s="38"/>
      <c r="AI498" s="38"/>
      <c r="AJ498" s="1"/>
      <c r="AK498" s="1" t="s">
        <v>302</v>
      </c>
      <c r="AL498" s="1"/>
    </row>
    <row r="499" spans="1:38" hidden="1" x14ac:dyDescent="0.25">
      <c r="A499" s="24">
        <f t="shared" ref="A499:A501" si="191">ROW()-1</f>
        <v>498</v>
      </c>
      <c r="B499" s="27" t="s">
        <v>1038</v>
      </c>
      <c r="C499" s="25" t="s">
        <v>1194</v>
      </c>
      <c r="D499" s="27" t="s">
        <v>1448</v>
      </c>
      <c r="E499" s="25" t="s">
        <v>998</v>
      </c>
      <c r="F499" s="25" t="s">
        <v>71</v>
      </c>
      <c r="G499" s="25" t="s">
        <v>72</v>
      </c>
      <c r="H499" s="25" t="s">
        <v>73</v>
      </c>
      <c r="I499" s="22" t="s">
        <v>1195</v>
      </c>
      <c r="J499" s="22" t="s">
        <v>38</v>
      </c>
      <c r="K499" s="22">
        <v>60</v>
      </c>
      <c r="L499" s="22"/>
      <c r="M499" s="22" t="s">
        <v>58</v>
      </c>
      <c r="N499" s="23" t="s">
        <v>55</v>
      </c>
      <c r="O499" s="23" t="s">
        <v>59</v>
      </c>
      <c r="P499" s="23" t="s">
        <v>60</v>
      </c>
      <c r="Q499" s="23">
        <v>3</v>
      </c>
      <c r="R499" s="23" t="s">
        <v>61</v>
      </c>
      <c r="S499" s="23">
        <v>80</v>
      </c>
      <c r="T499" s="23">
        <v>90</v>
      </c>
      <c r="U499" s="23" t="s">
        <v>58</v>
      </c>
      <c r="V499" s="23" t="s">
        <v>62</v>
      </c>
      <c r="W499" s="23"/>
      <c r="X499" s="23" t="e">
        <f>IF(COUNTIF(#REF!,_xlfn.TEXTJOIN(".",,C499,F499,H499)),"是","否")</f>
        <v>#REF!</v>
      </c>
      <c r="Y499" s="23" t="e">
        <f t="shared" ref="Y499:Y501" si="192">IF(AND(O499="底线指标",X499="是"),"是","否")</f>
        <v>#REF!</v>
      </c>
      <c r="Z499" s="1"/>
      <c r="AA499" s="38"/>
      <c r="AB499" s="38"/>
      <c r="AC499" s="38"/>
      <c r="AD499" s="38"/>
      <c r="AE499" s="38"/>
      <c r="AF499" s="38"/>
      <c r="AG499" s="38"/>
      <c r="AH499" s="38"/>
      <c r="AI499" s="38"/>
      <c r="AJ499" s="1"/>
      <c r="AK499" s="1" t="s">
        <v>152</v>
      </c>
      <c r="AL499" s="1"/>
    </row>
    <row r="500" spans="1:38" hidden="1" x14ac:dyDescent="0.25">
      <c r="A500" s="24">
        <f t="shared" si="191"/>
        <v>499</v>
      </c>
      <c r="B500" s="27" t="s">
        <v>1038</v>
      </c>
      <c r="C500" s="25" t="s">
        <v>1194</v>
      </c>
      <c r="D500" s="27" t="s">
        <v>1448</v>
      </c>
      <c r="E500" s="25" t="s">
        <v>998</v>
      </c>
      <c r="F500" s="25" t="s">
        <v>71</v>
      </c>
      <c r="G500" s="25" t="s">
        <v>1196</v>
      </c>
      <c r="H500" s="25" t="s">
        <v>77</v>
      </c>
      <c r="I500" s="22" t="s">
        <v>1197</v>
      </c>
      <c r="J500" s="22" t="s">
        <v>38</v>
      </c>
      <c r="K500" s="22">
        <v>60</v>
      </c>
      <c r="L500" s="22"/>
      <c r="M500" s="22" t="s">
        <v>58</v>
      </c>
      <c r="N500" s="23" t="s">
        <v>55</v>
      </c>
      <c r="O500" s="23" t="s">
        <v>59</v>
      </c>
      <c r="P500" s="23" t="s">
        <v>60</v>
      </c>
      <c r="Q500" s="23">
        <v>3</v>
      </c>
      <c r="R500" s="23" t="s">
        <v>61</v>
      </c>
      <c r="S500" s="23">
        <v>80</v>
      </c>
      <c r="T500" s="23">
        <v>90</v>
      </c>
      <c r="U500" s="23" t="s">
        <v>58</v>
      </c>
      <c r="V500" s="23" t="s">
        <v>62</v>
      </c>
      <c r="W500" s="23"/>
      <c r="X500" s="23" t="e">
        <f>IF(COUNTIF(#REF!,_xlfn.TEXTJOIN(".",,C500,F500,H500)),"是","否")</f>
        <v>#REF!</v>
      </c>
      <c r="Y500" s="23" t="e">
        <f t="shared" si="192"/>
        <v>#REF!</v>
      </c>
      <c r="Z500" s="1"/>
      <c r="AA500" s="38"/>
      <c r="AB500" s="38"/>
      <c r="AC500" s="38"/>
      <c r="AD500" s="38"/>
      <c r="AE500" s="38"/>
      <c r="AF500" s="38"/>
      <c r="AG500" s="38"/>
      <c r="AH500" s="38"/>
      <c r="AI500" s="38"/>
      <c r="AJ500" s="1"/>
      <c r="AK500" s="1" t="s">
        <v>152</v>
      </c>
      <c r="AL500" s="1"/>
    </row>
    <row r="501" spans="1:38" hidden="1" x14ac:dyDescent="0.25">
      <c r="A501" s="24">
        <f t="shared" si="191"/>
        <v>500</v>
      </c>
      <c r="B501" s="27" t="s">
        <v>1038</v>
      </c>
      <c r="C501" s="25" t="s">
        <v>1194</v>
      </c>
      <c r="D501" s="27" t="s">
        <v>1448</v>
      </c>
      <c r="E501" s="25" t="s">
        <v>998</v>
      </c>
      <c r="F501" s="25" t="s">
        <v>71</v>
      </c>
      <c r="G501" s="25" t="s">
        <v>1198</v>
      </c>
      <c r="H501" s="25" t="s">
        <v>80</v>
      </c>
      <c r="I501" s="22" t="s">
        <v>1199</v>
      </c>
      <c r="J501" s="22" t="s">
        <v>38</v>
      </c>
      <c r="K501" s="22">
        <v>60</v>
      </c>
      <c r="L501" s="22"/>
      <c r="M501" s="22" t="s">
        <v>58</v>
      </c>
      <c r="N501" s="23" t="s">
        <v>55</v>
      </c>
      <c r="O501" s="23" t="s">
        <v>59</v>
      </c>
      <c r="P501" s="23" t="s">
        <v>60</v>
      </c>
      <c r="Q501" s="23">
        <v>3</v>
      </c>
      <c r="R501" s="23" t="s">
        <v>61</v>
      </c>
      <c r="S501" s="23">
        <v>80</v>
      </c>
      <c r="T501" s="23">
        <v>90</v>
      </c>
      <c r="U501" s="23" t="s">
        <v>58</v>
      </c>
      <c r="V501" s="23" t="s">
        <v>62</v>
      </c>
      <c r="W501" s="23"/>
      <c r="X501" s="23" t="e">
        <f>IF(COUNTIF(#REF!,_xlfn.TEXTJOIN(".",,C501,F501,H501)),"是","否")</f>
        <v>#REF!</v>
      </c>
      <c r="Y501" s="23" t="e">
        <f t="shared" si="192"/>
        <v>#REF!</v>
      </c>
      <c r="Z501" s="1"/>
      <c r="AA501" s="38"/>
      <c r="AB501" s="38"/>
      <c r="AC501" s="38"/>
      <c r="AD501" s="38"/>
      <c r="AE501" s="38"/>
      <c r="AF501" s="38"/>
      <c r="AG501" s="38"/>
      <c r="AH501" s="38"/>
      <c r="AI501" s="38"/>
      <c r="AJ501" s="1"/>
      <c r="AK501" s="1" t="s">
        <v>152</v>
      </c>
      <c r="AL501" s="1"/>
    </row>
    <row r="502" spans="1:38" hidden="1" x14ac:dyDescent="0.25">
      <c r="A502" s="24">
        <f t="shared" ref="A502:A503" si="193">ROW()-1</f>
        <v>501</v>
      </c>
      <c r="B502" s="27" t="s">
        <v>1038</v>
      </c>
      <c r="C502" s="25" t="s">
        <v>1039</v>
      </c>
      <c r="D502" s="27" t="s">
        <v>1448</v>
      </c>
      <c r="E502" s="25" t="s">
        <v>1087</v>
      </c>
      <c r="F502" s="25" t="s">
        <v>1088</v>
      </c>
      <c r="G502" s="25" t="s">
        <v>1438</v>
      </c>
      <c r="H502" s="25" t="s">
        <v>1439</v>
      </c>
      <c r="I502" s="25" t="s">
        <v>1440</v>
      </c>
      <c r="J502" s="25" t="s">
        <v>38</v>
      </c>
      <c r="K502" s="27">
        <v>60</v>
      </c>
      <c r="L502" s="27" t="s">
        <v>39</v>
      </c>
      <c r="M502" s="25" t="s">
        <v>172</v>
      </c>
      <c r="N502" s="23" t="s">
        <v>55</v>
      </c>
      <c r="O502" s="23" t="s">
        <v>59</v>
      </c>
      <c r="P502" s="23" t="s">
        <v>60</v>
      </c>
      <c r="Q502" s="23">
        <v>5</v>
      </c>
      <c r="R502" s="23" t="s">
        <v>334</v>
      </c>
      <c r="S502" s="23">
        <v>5</v>
      </c>
      <c r="T502" s="23" t="s">
        <v>1110</v>
      </c>
      <c r="U502" s="23" t="s">
        <v>58</v>
      </c>
      <c r="V502" s="23" t="s">
        <v>946</v>
      </c>
      <c r="W502" s="23" t="s">
        <v>1457</v>
      </c>
      <c r="X502" s="23" t="e">
        <f>IF(COUNTIF(#REF!,_xlfn.TEXTJOIN(".",,C502,F502,H502)),"是","否")</f>
        <v>#REF!</v>
      </c>
      <c r="Y502" s="23" t="e">
        <f t="shared" ref="Y502:Y503" si="194">IF(AND(O502="底线指标",X502="是"),"是","否")</f>
        <v>#REF!</v>
      </c>
      <c r="Z502" s="1"/>
      <c r="AA502" s="38"/>
      <c r="AB502" s="38"/>
      <c r="AC502" s="38"/>
      <c r="AD502" s="38"/>
      <c r="AE502" s="38"/>
      <c r="AF502" s="38"/>
      <c r="AG502" s="38"/>
      <c r="AH502" s="38"/>
      <c r="AI502" s="38"/>
      <c r="AJ502" s="1"/>
      <c r="AK502" s="1" t="s">
        <v>302</v>
      </c>
      <c r="AL502" s="1"/>
    </row>
    <row r="503" spans="1:38" hidden="1" x14ac:dyDescent="0.25">
      <c r="A503" s="24">
        <f t="shared" si="193"/>
        <v>502</v>
      </c>
      <c r="B503" s="27" t="s">
        <v>1038</v>
      </c>
      <c r="C503" s="25" t="s">
        <v>1039</v>
      </c>
      <c r="D503" s="27" t="s">
        <v>1448</v>
      </c>
      <c r="E503" s="25" t="s">
        <v>1087</v>
      </c>
      <c r="F503" s="25" t="s">
        <v>1088</v>
      </c>
      <c r="G503" s="25" t="s">
        <v>1441</v>
      </c>
      <c r="H503" s="25" t="s">
        <v>1442</v>
      </c>
      <c r="I503" s="25" t="s">
        <v>1443</v>
      </c>
      <c r="J503" s="25" t="s">
        <v>38</v>
      </c>
      <c r="K503" s="27">
        <v>60</v>
      </c>
      <c r="L503" s="27" t="s">
        <v>39</v>
      </c>
      <c r="M503" s="25" t="s">
        <v>172</v>
      </c>
      <c r="N503" s="23" t="s">
        <v>55</v>
      </c>
      <c r="O503" s="23" t="s">
        <v>59</v>
      </c>
      <c r="P503" s="23" t="s">
        <v>60</v>
      </c>
      <c r="Q503" s="23">
        <v>5</v>
      </c>
      <c r="R503" s="23" t="s">
        <v>334</v>
      </c>
      <c r="S503" s="23">
        <v>5</v>
      </c>
      <c r="T503" s="23" t="s">
        <v>1110</v>
      </c>
      <c r="U503" s="23" t="s">
        <v>58</v>
      </c>
      <c r="V503" s="23" t="s">
        <v>946</v>
      </c>
      <c r="W503" s="23" t="s">
        <v>1457</v>
      </c>
      <c r="X503" s="23" t="e">
        <f>IF(COUNTIF(#REF!,_xlfn.TEXTJOIN(".",,C503,F503,H503)),"是","否")</f>
        <v>#REF!</v>
      </c>
      <c r="Y503" s="23" t="e">
        <f t="shared" si="194"/>
        <v>#REF!</v>
      </c>
      <c r="Z503" s="1"/>
      <c r="AA503" s="38"/>
      <c r="AB503" s="38"/>
      <c r="AC503" s="38"/>
      <c r="AD503" s="38"/>
      <c r="AE503" s="38"/>
      <c r="AF503" s="38"/>
      <c r="AG503" s="38"/>
      <c r="AH503" s="38"/>
      <c r="AI503" s="38"/>
      <c r="AJ503" s="1"/>
      <c r="AK503" s="1" t="s">
        <v>302</v>
      </c>
      <c r="AL503" s="1"/>
    </row>
    <row r="504" spans="1:38" hidden="1" x14ac:dyDescent="0.25">
      <c r="A504" s="24">
        <f t="shared" ref="A504:A513" si="195">ROW()-1</f>
        <v>503</v>
      </c>
      <c r="B504" s="25" t="s">
        <v>1103</v>
      </c>
      <c r="C504" s="25" t="s">
        <v>1128</v>
      </c>
      <c r="D504" s="27" t="s">
        <v>1448</v>
      </c>
      <c r="E504" s="25" t="s">
        <v>1076</v>
      </c>
      <c r="F504" s="25" t="s">
        <v>1077</v>
      </c>
      <c r="G504" s="25" t="s">
        <v>94</v>
      </c>
      <c r="H504" s="25" t="s">
        <v>95</v>
      </c>
      <c r="I504" s="25" t="s">
        <v>1081</v>
      </c>
      <c r="J504" s="25" t="s">
        <v>38</v>
      </c>
      <c r="K504" s="25">
        <v>60</v>
      </c>
      <c r="L504" s="25" t="s">
        <v>39</v>
      </c>
      <c r="M504" s="25" t="s">
        <v>58</v>
      </c>
      <c r="N504" s="23" t="s">
        <v>55</v>
      </c>
      <c r="O504" s="23" t="s">
        <v>59</v>
      </c>
      <c r="P504" s="23" t="s">
        <v>60</v>
      </c>
      <c r="Q504" s="23">
        <v>3</v>
      </c>
      <c r="R504" s="23" t="s">
        <v>61</v>
      </c>
      <c r="S504" s="23"/>
      <c r="T504" s="23">
        <v>90</v>
      </c>
      <c r="U504" s="23" t="s">
        <v>58</v>
      </c>
      <c r="V504" s="23" t="s">
        <v>946</v>
      </c>
      <c r="W504" s="23"/>
      <c r="X504" s="23" t="e">
        <f>IF(COUNTIF(#REF!,_xlfn.TEXTJOIN(".",,C504,F504,H504)),"是","否")</f>
        <v>#REF!</v>
      </c>
      <c r="Y504" s="23" t="e">
        <f t="shared" ref="Y504:Y513" si="196">IF(AND(O504="底线指标",X504="是"),"是","否")</f>
        <v>#REF!</v>
      </c>
      <c r="Z504" s="1"/>
      <c r="AA504" s="38"/>
      <c r="AB504" s="38"/>
      <c r="AC504" s="38"/>
      <c r="AD504" s="38"/>
      <c r="AE504" s="38"/>
      <c r="AF504" s="38"/>
      <c r="AG504" s="38"/>
      <c r="AH504" s="38"/>
      <c r="AI504" s="38"/>
      <c r="AJ504" s="1" t="s">
        <v>1458</v>
      </c>
      <c r="AK504" s="1"/>
      <c r="AL504" s="1"/>
    </row>
    <row r="505" spans="1:38" hidden="1" x14ac:dyDescent="0.25">
      <c r="A505" s="24">
        <f t="shared" si="195"/>
        <v>504</v>
      </c>
      <c r="B505" s="25" t="s">
        <v>1103</v>
      </c>
      <c r="C505" s="25" t="s">
        <v>1128</v>
      </c>
      <c r="D505" s="27" t="s">
        <v>1448</v>
      </c>
      <c r="E505" s="25" t="s">
        <v>1076</v>
      </c>
      <c r="F505" s="25" t="s">
        <v>1077</v>
      </c>
      <c r="G505" s="25" t="s">
        <v>90</v>
      </c>
      <c r="H505" s="25" t="s">
        <v>91</v>
      </c>
      <c r="I505" s="25" t="s">
        <v>1083</v>
      </c>
      <c r="J505" s="25" t="s">
        <v>38</v>
      </c>
      <c r="K505" s="25">
        <v>60</v>
      </c>
      <c r="L505" s="25" t="s">
        <v>39</v>
      </c>
      <c r="M505" s="25" t="s">
        <v>58</v>
      </c>
      <c r="N505" s="23" t="s">
        <v>55</v>
      </c>
      <c r="O505" s="23" t="s">
        <v>59</v>
      </c>
      <c r="P505" s="23" t="s">
        <v>60</v>
      </c>
      <c r="Q505" s="23">
        <v>3</v>
      </c>
      <c r="R505" s="23" t="s">
        <v>61</v>
      </c>
      <c r="S505" s="23"/>
      <c r="T505" s="23">
        <v>90</v>
      </c>
      <c r="U505" s="23" t="s">
        <v>58</v>
      </c>
      <c r="V505" s="23" t="s">
        <v>946</v>
      </c>
      <c r="W505" s="23"/>
      <c r="X505" s="23" t="e">
        <f>IF(COUNTIF(#REF!,_xlfn.TEXTJOIN(".",,C505,F505,H505)),"是","否")</f>
        <v>#REF!</v>
      </c>
      <c r="Y505" s="23" t="e">
        <f t="shared" si="196"/>
        <v>#REF!</v>
      </c>
      <c r="Z505" s="1"/>
      <c r="AA505" s="38"/>
      <c r="AB505" s="38"/>
      <c r="AC505" s="38"/>
      <c r="AD505" s="38"/>
      <c r="AE505" s="38"/>
      <c r="AF505" s="38"/>
      <c r="AG505" s="38"/>
      <c r="AH505" s="38"/>
      <c r="AI505" s="38"/>
      <c r="AJ505" s="1" t="s">
        <v>1459</v>
      </c>
      <c r="AK505" s="1"/>
      <c r="AL505" s="1"/>
    </row>
    <row r="506" spans="1:38" hidden="1" x14ac:dyDescent="0.25">
      <c r="A506" s="24">
        <f t="shared" si="195"/>
        <v>505</v>
      </c>
      <c r="B506" s="25" t="s">
        <v>1103</v>
      </c>
      <c r="C506" s="25" t="s">
        <v>1128</v>
      </c>
      <c r="D506" s="27" t="s">
        <v>1448</v>
      </c>
      <c r="E506" s="25" t="s">
        <v>1076</v>
      </c>
      <c r="F506" s="25" t="s">
        <v>1077</v>
      </c>
      <c r="G506" s="25" t="s">
        <v>1084</v>
      </c>
      <c r="H506" s="25" t="s">
        <v>1085</v>
      </c>
      <c r="I506" s="25" t="s">
        <v>1086</v>
      </c>
      <c r="J506" s="25" t="s">
        <v>38</v>
      </c>
      <c r="K506" s="25">
        <v>60</v>
      </c>
      <c r="L506" s="25" t="s">
        <v>39</v>
      </c>
      <c r="M506" s="25"/>
      <c r="N506" s="23" t="s">
        <v>55</v>
      </c>
      <c r="O506" s="23" t="s">
        <v>59</v>
      </c>
      <c r="P506" s="23" t="s">
        <v>60</v>
      </c>
      <c r="Q506" s="23">
        <v>2</v>
      </c>
      <c r="R506" s="23" t="s">
        <v>136</v>
      </c>
      <c r="S506" s="23"/>
      <c r="T506" s="23">
        <v>1</v>
      </c>
      <c r="U506" s="23" t="s">
        <v>571</v>
      </c>
      <c r="V506" s="23" t="s">
        <v>946</v>
      </c>
      <c r="W506" s="23"/>
      <c r="X506" s="23" t="e">
        <f>IF(COUNTIF(#REF!,_xlfn.TEXTJOIN(".",,C506,F506,H506)),"是","否")</f>
        <v>#REF!</v>
      </c>
      <c r="Y506" s="23" t="e">
        <f t="shared" si="196"/>
        <v>#REF!</v>
      </c>
      <c r="Z506" s="1"/>
      <c r="AA506" s="38"/>
      <c r="AB506" s="38"/>
      <c r="AC506" s="38"/>
      <c r="AD506" s="38"/>
      <c r="AE506" s="38"/>
      <c r="AF506" s="38"/>
      <c r="AG506" s="38"/>
      <c r="AH506" s="38"/>
      <c r="AI506" s="38"/>
      <c r="AJ506" s="1" t="s">
        <v>1460</v>
      </c>
      <c r="AK506" s="1"/>
      <c r="AL506" s="1"/>
    </row>
    <row r="507" spans="1:38" hidden="1" x14ac:dyDescent="0.25">
      <c r="A507" s="24">
        <f t="shared" si="195"/>
        <v>506</v>
      </c>
      <c r="B507" s="25" t="s">
        <v>1103</v>
      </c>
      <c r="C507" s="25" t="s">
        <v>1128</v>
      </c>
      <c r="D507" s="27" t="s">
        <v>1448</v>
      </c>
      <c r="E507" s="25" t="s">
        <v>1076</v>
      </c>
      <c r="F507" s="25" t="s">
        <v>1077</v>
      </c>
      <c r="G507" s="25" t="s">
        <v>92</v>
      </c>
      <c r="H507" s="25" t="s">
        <v>93</v>
      </c>
      <c r="I507" s="25" t="s">
        <v>1065</v>
      </c>
      <c r="J507" s="25" t="s">
        <v>38</v>
      </c>
      <c r="K507" s="25">
        <v>60</v>
      </c>
      <c r="L507" s="25" t="s">
        <v>39</v>
      </c>
      <c r="M507" s="25" t="s">
        <v>58</v>
      </c>
      <c r="N507" s="23" t="s">
        <v>55</v>
      </c>
      <c r="O507" s="23" t="s">
        <v>59</v>
      </c>
      <c r="P507" s="23" t="s">
        <v>60</v>
      </c>
      <c r="Q507" s="23">
        <v>3</v>
      </c>
      <c r="R507" s="23" t="s">
        <v>61</v>
      </c>
      <c r="S507" s="23"/>
      <c r="T507" s="23">
        <v>90</v>
      </c>
      <c r="U507" s="22" t="s">
        <v>58</v>
      </c>
      <c r="V507" s="23" t="s">
        <v>946</v>
      </c>
      <c r="W507" s="23"/>
      <c r="X507" s="23" t="e">
        <f>IF(COUNTIF(#REF!,_xlfn.TEXTJOIN(".",,C507,F507,H507)),"是","否")</f>
        <v>#REF!</v>
      </c>
      <c r="Y507" s="23" t="e">
        <f t="shared" si="196"/>
        <v>#REF!</v>
      </c>
      <c r="Z507" s="1"/>
      <c r="AA507" s="38"/>
      <c r="AB507" s="38"/>
      <c r="AC507" s="38"/>
      <c r="AD507" s="38"/>
      <c r="AE507" s="38"/>
      <c r="AF507" s="38"/>
      <c r="AG507" s="38"/>
      <c r="AH507" s="38"/>
      <c r="AI507" s="38"/>
      <c r="AJ507" s="1" t="s">
        <v>1461</v>
      </c>
      <c r="AK507" s="1"/>
      <c r="AL507" s="1"/>
    </row>
    <row r="508" spans="1:38" hidden="1" x14ac:dyDescent="0.25">
      <c r="A508" s="24">
        <f t="shared" si="195"/>
        <v>507</v>
      </c>
      <c r="B508" s="25" t="s">
        <v>1103</v>
      </c>
      <c r="C508" s="25" t="s">
        <v>1128</v>
      </c>
      <c r="D508" s="27" t="s">
        <v>1448</v>
      </c>
      <c r="E508" s="25" t="s">
        <v>1061</v>
      </c>
      <c r="F508" s="25" t="s">
        <v>1062</v>
      </c>
      <c r="G508" s="25" t="s">
        <v>1043</v>
      </c>
      <c r="H508" s="25" t="s">
        <v>1044</v>
      </c>
      <c r="I508" s="25" t="s">
        <v>1045</v>
      </c>
      <c r="J508" s="25" t="s">
        <v>38</v>
      </c>
      <c r="K508" s="25">
        <v>60</v>
      </c>
      <c r="L508" s="25" t="s">
        <v>39</v>
      </c>
      <c r="M508" s="25" t="s">
        <v>58</v>
      </c>
      <c r="N508" s="23" t="s">
        <v>55</v>
      </c>
      <c r="O508" s="23" t="s">
        <v>59</v>
      </c>
      <c r="P508" s="23" t="s">
        <v>60</v>
      </c>
      <c r="Q508" s="23">
        <v>5</v>
      </c>
      <c r="R508" s="23" t="s">
        <v>61</v>
      </c>
      <c r="S508" s="23">
        <v>0</v>
      </c>
      <c r="T508" s="23"/>
      <c r="U508" s="23" t="s">
        <v>58</v>
      </c>
      <c r="V508" s="23" t="s">
        <v>459</v>
      </c>
      <c r="W508" s="23"/>
      <c r="X508" s="23" t="e">
        <f>IF(COUNTIF(#REF!,_xlfn.TEXTJOIN(".",,C508,F508,H508)),"是","否")</f>
        <v>#REF!</v>
      </c>
      <c r="Y508" s="23" t="e">
        <f t="shared" si="196"/>
        <v>#REF!</v>
      </c>
      <c r="Z508" s="1"/>
      <c r="AA508" s="38"/>
      <c r="AB508" s="38"/>
      <c r="AC508" s="38"/>
      <c r="AD508" s="38"/>
      <c r="AE508" s="38"/>
      <c r="AF508" s="38"/>
      <c r="AG508" s="38"/>
      <c r="AH508" s="38"/>
      <c r="AI508" s="38"/>
      <c r="AJ508" s="1" t="s">
        <v>1462</v>
      </c>
      <c r="AK508" s="1"/>
      <c r="AL508" s="1"/>
    </row>
    <row r="509" spans="1:38" hidden="1" x14ac:dyDescent="0.25">
      <c r="A509" s="24">
        <f t="shared" si="195"/>
        <v>508</v>
      </c>
      <c r="B509" s="25" t="s">
        <v>1103</v>
      </c>
      <c r="C509" s="25" t="s">
        <v>1128</v>
      </c>
      <c r="D509" s="27" t="s">
        <v>1448</v>
      </c>
      <c r="E509" s="25" t="s">
        <v>1061</v>
      </c>
      <c r="F509" s="25" t="s">
        <v>1062</v>
      </c>
      <c r="G509" s="25" t="s">
        <v>1046</v>
      </c>
      <c r="H509" s="25" t="s">
        <v>1047</v>
      </c>
      <c r="I509" s="25" t="s">
        <v>1048</v>
      </c>
      <c r="J509" s="25" t="s">
        <v>38</v>
      </c>
      <c r="K509" s="25">
        <v>60</v>
      </c>
      <c r="L509" s="25" t="s">
        <v>39</v>
      </c>
      <c r="M509" s="25" t="s">
        <v>58</v>
      </c>
      <c r="N509" s="23" t="s">
        <v>55</v>
      </c>
      <c r="O509" s="23" t="s">
        <v>59</v>
      </c>
      <c r="P509" s="23" t="s">
        <v>60</v>
      </c>
      <c r="Q509" s="23">
        <v>5</v>
      </c>
      <c r="R509" s="23" t="s">
        <v>61</v>
      </c>
      <c r="S509" s="23">
        <v>0</v>
      </c>
      <c r="T509" s="23"/>
      <c r="U509" s="23" t="s">
        <v>58</v>
      </c>
      <c r="V509" s="23" t="s">
        <v>459</v>
      </c>
      <c r="W509" s="23"/>
      <c r="X509" s="23" t="e">
        <f>IF(COUNTIF(#REF!,_xlfn.TEXTJOIN(".",,C509,F509,H509)),"是","否")</f>
        <v>#REF!</v>
      </c>
      <c r="Y509" s="23" t="e">
        <f t="shared" si="196"/>
        <v>#REF!</v>
      </c>
      <c r="Z509" s="1"/>
      <c r="AA509" s="38"/>
      <c r="AB509" s="38"/>
      <c r="AC509" s="38"/>
      <c r="AD509" s="38"/>
      <c r="AE509" s="38"/>
      <c r="AF509" s="38"/>
      <c r="AG509" s="38"/>
      <c r="AH509" s="38"/>
      <c r="AI509" s="38"/>
      <c r="AJ509" s="1" t="s">
        <v>1463</v>
      </c>
      <c r="AK509" s="1"/>
      <c r="AL509" s="1"/>
    </row>
    <row r="510" spans="1:38" hidden="1" x14ac:dyDescent="0.25">
      <c r="A510" s="24">
        <f t="shared" si="195"/>
        <v>509</v>
      </c>
      <c r="B510" s="25" t="s">
        <v>1103</v>
      </c>
      <c r="C510" s="25" t="s">
        <v>1128</v>
      </c>
      <c r="D510" s="27" t="s">
        <v>1448</v>
      </c>
      <c r="E510" s="25" t="s">
        <v>1061</v>
      </c>
      <c r="F510" s="25" t="s">
        <v>1062</v>
      </c>
      <c r="G510" s="25" t="s">
        <v>1049</v>
      </c>
      <c r="H510" s="25" t="s">
        <v>1050</v>
      </c>
      <c r="I510" s="25" t="s">
        <v>1051</v>
      </c>
      <c r="J510" s="25" t="s">
        <v>38</v>
      </c>
      <c r="K510" s="25">
        <v>60</v>
      </c>
      <c r="L510" s="25" t="s">
        <v>39</v>
      </c>
      <c r="M510" s="25" t="s">
        <v>58</v>
      </c>
      <c r="N510" s="23" t="s">
        <v>55</v>
      </c>
      <c r="O510" s="23" t="s">
        <v>59</v>
      </c>
      <c r="P510" s="23" t="s">
        <v>60</v>
      </c>
      <c r="Q510" s="23">
        <v>5</v>
      </c>
      <c r="R510" s="23" t="s">
        <v>61</v>
      </c>
      <c r="S510" s="23">
        <v>0</v>
      </c>
      <c r="T510" s="23"/>
      <c r="U510" s="23" t="s">
        <v>58</v>
      </c>
      <c r="V510" s="23" t="s">
        <v>459</v>
      </c>
      <c r="W510" s="23"/>
      <c r="X510" s="23" t="e">
        <f>IF(COUNTIF(#REF!,_xlfn.TEXTJOIN(".",,C510,F510,H510)),"是","否")</f>
        <v>#REF!</v>
      </c>
      <c r="Y510" s="23" t="e">
        <f t="shared" si="196"/>
        <v>#REF!</v>
      </c>
      <c r="Z510" s="1"/>
      <c r="AA510" s="38"/>
      <c r="AB510" s="38"/>
      <c r="AC510" s="38"/>
      <c r="AD510" s="38"/>
      <c r="AE510" s="38"/>
      <c r="AF510" s="38"/>
      <c r="AG510" s="38"/>
      <c r="AH510" s="38"/>
      <c r="AI510" s="38"/>
      <c r="AJ510" s="1" t="s">
        <v>1464</v>
      </c>
      <c r="AK510" s="1"/>
      <c r="AL510" s="1"/>
    </row>
    <row r="511" spans="1:38" hidden="1" x14ac:dyDescent="0.25">
      <c r="A511" s="24">
        <f t="shared" si="195"/>
        <v>510</v>
      </c>
      <c r="B511" s="25" t="s">
        <v>1103</v>
      </c>
      <c r="C511" s="25" t="s">
        <v>1128</v>
      </c>
      <c r="D511" s="27" t="s">
        <v>1448</v>
      </c>
      <c r="E511" s="25" t="s">
        <v>1061</v>
      </c>
      <c r="F511" s="25" t="s">
        <v>1062</v>
      </c>
      <c r="G511" s="25" t="s">
        <v>1052</v>
      </c>
      <c r="H511" s="25" t="s">
        <v>1053</v>
      </c>
      <c r="I511" s="25" t="s">
        <v>1054</v>
      </c>
      <c r="J511" s="25" t="s">
        <v>38</v>
      </c>
      <c r="K511" s="25">
        <v>60</v>
      </c>
      <c r="L511" s="25" t="s">
        <v>39</v>
      </c>
      <c r="M511" s="25" t="s">
        <v>58</v>
      </c>
      <c r="N511" s="23" t="s">
        <v>55</v>
      </c>
      <c r="O511" s="23" t="s">
        <v>59</v>
      </c>
      <c r="P511" s="23" t="s">
        <v>60</v>
      </c>
      <c r="Q511" s="23">
        <v>5</v>
      </c>
      <c r="R511" s="23" t="s">
        <v>61</v>
      </c>
      <c r="S511" s="23">
        <v>0</v>
      </c>
      <c r="T511" s="23"/>
      <c r="U511" s="23" t="s">
        <v>58</v>
      </c>
      <c r="V511" s="23" t="s">
        <v>459</v>
      </c>
      <c r="W511" s="23"/>
      <c r="X511" s="23" t="e">
        <f>IF(COUNTIF(#REF!,_xlfn.TEXTJOIN(".",,C511,F511,H511)),"是","否")</f>
        <v>#REF!</v>
      </c>
      <c r="Y511" s="23" t="e">
        <f t="shared" si="196"/>
        <v>#REF!</v>
      </c>
      <c r="Z511" s="1"/>
      <c r="AA511" s="38"/>
      <c r="AB511" s="38"/>
      <c r="AC511" s="38"/>
      <c r="AD511" s="38"/>
      <c r="AE511" s="38"/>
      <c r="AF511" s="38"/>
      <c r="AG511" s="38"/>
      <c r="AH511" s="38"/>
      <c r="AI511" s="38"/>
      <c r="AJ511" s="1" t="s">
        <v>1465</v>
      </c>
      <c r="AK511" s="1"/>
      <c r="AL511" s="1"/>
    </row>
    <row r="512" spans="1:38" hidden="1" x14ac:dyDescent="0.25">
      <c r="A512" s="24">
        <f t="shared" si="195"/>
        <v>511</v>
      </c>
      <c r="B512" s="25" t="s">
        <v>1103</v>
      </c>
      <c r="C512" s="25" t="s">
        <v>1128</v>
      </c>
      <c r="D512" s="27" t="s">
        <v>1448</v>
      </c>
      <c r="E512" s="25" t="s">
        <v>1087</v>
      </c>
      <c r="F512" s="25" t="s">
        <v>1088</v>
      </c>
      <c r="G512" s="25" t="s">
        <v>792</v>
      </c>
      <c r="H512" s="25" t="s">
        <v>793</v>
      </c>
      <c r="I512" s="25" t="s">
        <v>1091</v>
      </c>
      <c r="J512" s="25" t="s">
        <v>38</v>
      </c>
      <c r="K512" s="25">
        <v>60</v>
      </c>
      <c r="L512" s="25" t="s">
        <v>39</v>
      </c>
      <c r="M512" s="25" t="s">
        <v>58</v>
      </c>
      <c r="N512" s="23" t="s">
        <v>55</v>
      </c>
      <c r="O512" s="23" t="s">
        <v>59</v>
      </c>
      <c r="P512" s="23" t="s">
        <v>60</v>
      </c>
      <c r="Q512" s="23" t="s">
        <v>1121</v>
      </c>
      <c r="R512" s="23" t="s">
        <v>61</v>
      </c>
      <c r="S512" s="23" t="s">
        <v>1451</v>
      </c>
      <c r="T512" s="23" t="s">
        <v>1110</v>
      </c>
      <c r="U512" s="23" t="s">
        <v>58</v>
      </c>
      <c r="V512" s="23" t="s">
        <v>946</v>
      </c>
      <c r="W512" s="23" t="s">
        <v>1129</v>
      </c>
      <c r="X512" s="23" t="e">
        <f>IF(COUNTIF(#REF!,_xlfn.TEXTJOIN(".",,C512,F512,H512)),"是","否")</f>
        <v>#REF!</v>
      </c>
      <c r="Y512" s="23" t="e">
        <f t="shared" si="196"/>
        <v>#REF!</v>
      </c>
      <c r="Z512" s="1"/>
      <c r="AA512" s="38"/>
      <c r="AB512" s="38"/>
      <c r="AC512" s="38"/>
      <c r="AD512" s="38"/>
      <c r="AE512" s="38"/>
      <c r="AF512" s="38"/>
      <c r="AG512" s="38"/>
      <c r="AH512" s="38"/>
      <c r="AI512" s="38"/>
      <c r="AJ512" s="1" t="s">
        <v>1466</v>
      </c>
      <c r="AK512" s="1"/>
      <c r="AL512" s="1"/>
    </row>
    <row r="513" spans="1:38" hidden="1" x14ac:dyDescent="0.25">
      <c r="A513" s="24">
        <f t="shared" si="195"/>
        <v>512</v>
      </c>
      <c r="B513" s="25" t="s">
        <v>1103</v>
      </c>
      <c r="C513" s="25" t="s">
        <v>1128</v>
      </c>
      <c r="D513" s="27" t="s">
        <v>1448</v>
      </c>
      <c r="E513" s="25" t="s">
        <v>1087</v>
      </c>
      <c r="F513" s="25" t="s">
        <v>1088</v>
      </c>
      <c r="G513" s="25" t="s">
        <v>795</v>
      </c>
      <c r="H513" s="25" t="s">
        <v>796</v>
      </c>
      <c r="I513" s="25" t="s">
        <v>1090</v>
      </c>
      <c r="J513" s="25" t="s">
        <v>38</v>
      </c>
      <c r="K513" s="25">
        <v>60</v>
      </c>
      <c r="L513" s="25" t="s">
        <v>39</v>
      </c>
      <c r="M513" s="25"/>
      <c r="N513" s="23" t="s">
        <v>55</v>
      </c>
      <c r="O513" s="23" t="s">
        <v>59</v>
      </c>
      <c r="P513" s="23" t="s">
        <v>60</v>
      </c>
      <c r="Q513" s="23" t="s">
        <v>1125</v>
      </c>
      <c r="R513" s="23" t="s">
        <v>1155</v>
      </c>
      <c r="S513" s="23" t="s">
        <v>1450</v>
      </c>
      <c r="T513" s="23" t="s">
        <v>1110</v>
      </c>
      <c r="U513" s="23" t="s">
        <v>571</v>
      </c>
      <c r="V513" s="23" t="s">
        <v>946</v>
      </c>
      <c r="W513" s="23" t="s">
        <v>1129</v>
      </c>
      <c r="X513" s="23" t="e">
        <f>IF(COUNTIF(#REF!,_xlfn.TEXTJOIN(".",,C513,F513,H513)),"是","否")</f>
        <v>#REF!</v>
      </c>
      <c r="Y513" s="23" t="e">
        <f t="shared" si="196"/>
        <v>#REF!</v>
      </c>
      <c r="Z513" s="1"/>
      <c r="AA513" s="38"/>
      <c r="AB513" s="38"/>
      <c r="AC513" s="38"/>
      <c r="AD513" s="38"/>
      <c r="AE513" s="38"/>
      <c r="AF513" s="38"/>
      <c r="AG513" s="38"/>
      <c r="AH513" s="38"/>
      <c r="AI513" s="38"/>
      <c r="AJ513" s="1" t="s">
        <v>1467</v>
      </c>
      <c r="AK513" s="1"/>
      <c r="AL513" s="1"/>
    </row>
    <row r="514" spans="1:38" hidden="1" x14ac:dyDescent="0.25">
      <c r="A514" s="24">
        <f t="shared" ref="A514:A519" si="197">ROW()-1</f>
        <v>513</v>
      </c>
      <c r="B514" s="25" t="s">
        <v>1103</v>
      </c>
      <c r="C514" s="25" t="s">
        <v>1128</v>
      </c>
      <c r="D514" s="27" t="s">
        <v>1448</v>
      </c>
      <c r="E514" s="25" t="s">
        <v>1087</v>
      </c>
      <c r="F514" s="25" t="s">
        <v>1088</v>
      </c>
      <c r="G514" s="25" t="s">
        <v>797</v>
      </c>
      <c r="H514" s="25" t="s">
        <v>798</v>
      </c>
      <c r="I514" s="25" t="s">
        <v>799</v>
      </c>
      <c r="J514" s="25" t="s">
        <v>38</v>
      </c>
      <c r="K514" s="25">
        <v>60</v>
      </c>
      <c r="L514" s="25" t="s">
        <v>39</v>
      </c>
      <c r="M514" s="25"/>
      <c r="N514" s="23" t="s">
        <v>55</v>
      </c>
      <c r="O514" s="23" t="s">
        <v>59</v>
      </c>
      <c r="P514" s="23" t="s">
        <v>60</v>
      </c>
      <c r="Q514" s="23" t="s">
        <v>1125</v>
      </c>
      <c r="R514" s="23" t="s">
        <v>136</v>
      </c>
      <c r="S514" s="23" t="s">
        <v>1450</v>
      </c>
      <c r="T514" s="23" t="s">
        <v>1110</v>
      </c>
      <c r="U514" s="23" t="s">
        <v>571</v>
      </c>
      <c r="V514" s="23" t="s">
        <v>946</v>
      </c>
      <c r="W514" s="23" t="s">
        <v>1129</v>
      </c>
      <c r="X514" s="23" t="e">
        <f>IF(COUNTIF(#REF!,_xlfn.TEXTJOIN(".",,C514,F514,H514)),"是","否")</f>
        <v>#REF!</v>
      </c>
      <c r="Y514" s="23" t="e">
        <f t="shared" ref="Y514:Y519" si="198">IF(AND(O514="底线指标",X514="是"),"是","否")</f>
        <v>#REF!</v>
      </c>
      <c r="Z514" s="1"/>
      <c r="AA514" s="38"/>
      <c r="AB514" s="38"/>
      <c r="AC514" s="38"/>
      <c r="AD514" s="38"/>
      <c r="AE514" s="38"/>
      <c r="AF514" s="38"/>
      <c r="AG514" s="38"/>
      <c r="AH514" s="38"/>
      <c r="AI514" s="38"/>
      <c r="AJ514" s="1" t="s">
        <v>1468</v>
      </c>
      <c r="AK514" s="1"/>
      <c r="AL514" s="1"/>
    </row>
    <row r="515" spans="1:38" hidden="1" x14ac:dyDescent="0.25">
      <c r="A515" s="24">
        <f t="shared" si="197"/>
        <v>514</v>
      </c>
      <c r="B515" s="25" t="s">
        <v>1103</v>
      </c>
      <c r="C515" s="25" t="s">
        <v>1128</v>
      </c>
      <c r="D515" s="27" t="s">
        <v>1448</v>
      </c>
      <c r="E515" s="25" t="s">
        <v>1087</v>
      </c>
      <c r="F515" s="25" t="s">
        <v>1088</v>
      </c>
      <c r="G515" s="25" t="s">
        <v>800</v>
      </c>
      <c r="H515" s="25" t="s">
        <v>801</v>
      </c>
      <c r="I515" s="25" t="s">
        <v>802</v>
      </c>
      <c r="J515" s="25" t="s">
        <v>38</v>
      </c>
      <c r="K515" s="25">
        <v>60</v>
      </c>
      <c r="L515" s="25" t="s">
        <v>39</v>
      </c>
      <c r="M515" s="25" t="s">
        <v>83</v>
      </c>
      <c r="N515" s="23" t="s">
        <v>55</v>
      </c>
      <c r="O515" s="23" t="s">
        <v>59</v>
      </c>
      <c r="P515" s="23" t="s">
        <v>60</v>
      </c>
      <c r="Q515" s="23" t="s">
        <v>1125</v>
      </c>
      <c r="R515" s="23" t="s">
        <v>240</v>
      </c>
      <c r="S515" s="23" t="s">
        <v>1453</v>
      </c>
      <c r="T515" s="23" t="s">
        <v>1110</v>
      </c>
      <c r="U515" s="22" t="s">
        <v>83</v>
      </c>
      <c r="V515" s="23" t="s">
        <v>946</v>
      </c>
      <c r="W515" s="23" t="s">
        <v>1129</v>
      </c>
      <c r="X515" s="23" t="e">
        <f>IF(COUNTIF(#REF!,_xlfn.TEXTJOIN(".",,C515,F515,H515)),"是","否")</f>
        <v>#REF!</v>
      </c>
      <c r="Y515" s="23" t="e">
        <f t="shared" si="198"/>
        <v>#REF!</v>
      </c>
      <c r="Z515" s="1"/>
      <c r="AA515" s="38"/>
      <c r="AB515" s="38"/>
      <c r="AC515" s="38"/>
      <c r="AD515" s="38"/>
      <c r="AE515" s="38"/>
      <c r="AF515" s="38"/>
      <c r="AG515" s="38"/>
      <c r="AH515" s="38"/>
      <c r="AI515" s="38"/>
      <c r="AJ515" s="1" t="s">
        <v>1469</v>
      </c>
      <c r="AK515" s="1"/>
      <c r="AL515" s="1"/>
    </row>
    <row r="516" spans="1:38" hidden="1" x14ac:dyDescent="0.25">
      <c r="A516" s="24">
        <f t="shared" si="197"/>
        <v>515</v>
      </c>
      <c r="B516" s="25" t="s">
        <v>1103</v>
      </c>
      <c r="C516" s="25" t="s">
        <v>1128</v>
      </c>
      <c r="D516" s="27" t="s">
        <v>1448</v>
      </c>
      <c r="E516" s="25" t="s">
        <v>1087</v>
      </c>
      <c r="F516" s="25" t="s">
        <v>1088</v>
      </c>
      <c r="G516" s="25" t="s">
        <v>803</v>
      </c>
      <c r="H516" s="25" t="s">
        <v>804</v>
      </c>
      <c r="I516" s="25" t="s">
        <v>805</v>
      </c>
      <c r="J516" s="25" t="s">
        <v>38</v>
      </c>
      <c r="K516" s="25">
        <v>60</v>
      </c>
      <c r="L516" s="25" t="s">
        <v>39</v>
      </c>
      <c r="M516" s="25" t="s">
        <v>58</v>
      </c>
      <c r="N516" s="23" t="s">
        <v>55</v>
      </c>
      <c r="O516" s="23" t="s">
        <v>59</v>
      </c>
      <c r="P516" s="23" t="s">
        <v>60</v>
      </c>
      <c r="Q516" s="23" t="s">
        <v>1121</v>
      </c>
      <c r="R516" s="23" t="s">
        <v>61</v>
      </c>
      <c r="S516" s="23" t="s">
        <v>1451</v>
      </c>
      <c r="T516" s="23" t="s">
        <v>1110</v>
      </c>
      <c r="U516" s="22" t="s">
        <v>58</v>
      </c>
      <c r="V516" s="23" t="s">
        <v>946</v>
      </c>
      <c r="W516" s="23" t="s">
        <v>1129</v>
      </c>
      <c r="X516" s="23" t="e">
        <f>IF(COUNTIF(#REF!,_xlfn.TEXTJOIN(".",,C516,F516,H516)),"是","否")</f>
        <v>#REF!</v>
      </c>
      <c r="Y516" s="23" t="e">
        <f t="shared" si="198"/>
        <v>#REF!</v>
      </c>
      <c r="Z516" s="1"/>
      <c r="AA516" s="38"/>
      <c r="AB516" s="38"/>
      <c r="AC516" s="38"/>
      <c r="AD516" s="38"/>
      <c r="AE516" s="38"/>
      <c r="AF516" s="38"/>
      <c r="AG516" s="38"/>
      <c r="AH516" s="38"/>
      <c r="AI516" s="38"/>
      <c r="AJ516" s="1" t="s">
        <v>1470</v>
      </c>
      <c r="AK516" s="1"/>
      <c r="AL516" s="1"/>
    </row>
    <row r="517" spans="1:38" hidden="1" x14ac:dyDescent="0.25">
      <c r="A517" s="24">
        <f t="shared" si="197"/>
        <v>516</v>
      </c>
      <c r="B517" s="25" t="s">
        <v>1103</v>
      </c>
      <c r="C517" s="25" t="s">
        <v>1128</v>
      </c>
      <c r="D517" s="27" t="s">
        <v>1448</v>
      </c>
      <c r="E517" s="25" t="s">
        <v>1087</v>
      </c>
      <c r="F517" s="25" t="s">
        <v>1088</v>
      </c>
      <c r="G517" s="25" t="s">
        <v>806</v>
      </c>
      <c r="H517" s="25" t="s">
        <v>807</v>
      </c>
      <c r="I517" s="25" t="s">
        <v>808</v>
      </c>
      <c r="J517" s="25" t="s">
        <v>38</v>
      </c>
      <c r="K517" s="25">
        <v>60</v>
      </c>
      <c r="L517" s="25" t="s">
        <v>39</v>
      </c>
      <c r="M517" s="25" t="s">
        <v>58</v>
      </c>
      <c r="N517" s="23" t="s">
        <v>55</v>
      </c>
      <c r="O517" s="23" t="s">
        <v>59</v>
      </c>
      <c r="P517" s="23" t="s">
        <v>60</v>
      </c>
      <c r="Q517" s="23" t="s">
        <v>1125</v>
      </c>
      <c r="R517" s="23" t="s">
        <v>61</v>
      </c>
      <c r="S517" s="23" t="s">
        <v>1451</v>
      </c>
      <c r="T517" s="23" t="s">
        <v>1110</v>
      </c>
      <c r="U517" s="22" t="s">
        <v>58</v>
      </c>
      <c r="V517" s="23" t="s">
        <v>946</v>
      </c>
      <c r="W517" s="23" t="s">
        <v>1129</v>
      </c>
      <c r="X517" s="23" t="e">
        <f>IF(COUNTIF(#REF!,_xlfn.TEXTJOIN(".",,C517,F517,H517)),"是","否")</f>
        <v>#REF!</v>
      </c>
      <c r="Y517" s="23" t="e">
        <f t="shared" si="198"/>
        <v>#REF!</v>
      </c>
      <c r="Z517" s="1"/>
      <c r="AA517" s="38"/>
      <c r="AB517" s="38"/>
      <c r="AC517" s="38"/>
      <c r="AD517" s="38"/>
      <c r="AE517" s="38"/>
      <c r="AF517" s="38"/>
      <c r="AG517" s="38"/>
      <c r="AH517" s="38"/>
      <c r="AI517" s="38"/>
      <c r="AJ517" s="1" t="s">
        <v>1471</v>
      </c>
      <c r="AK517" s="1"/>
      <c r="AL517" s="1"/>
    </row>
    <row r="518" spans="1:38" ht="23" hidden="1" x14ac:dyDescent="0.25">
      <c r="A518" s="24">
        <f t="shared" si="197"/>
        <v>517</v>
      </c>
      <c r="B518" s="25" t="s">
        <v>1103</v>
      </c>
      <c r="C518" s="25" t="s">
        <v>1128</v>
      </c>
      <c r="D518" s="27" t="s">
        <v>1448</v>
      </c>
      <c r="E518" s="25" t="s">
        <v>1087</v>
      </c>
      <c r="F518" s="25" t="s">
        <v>1088</v>
      </c>
      <c r="G518" s="25" t="s">
        <v>809</v>
      </c>
      <c r="H518" s="25" t="s">
        <v>810</v>
      </c>
      <c r="I518" s="25" t="s">
        <v>811</v>
      </c>
      <c r="J518" s="25" t="s">
        <v>38</v>
      </c>
      <c r="K518" s="25">
        <v>60</v>
      </c>
      <c r="L518" s="25" t="s">
        <v>39</v>
      </c>
      <c r="M518" s="25" t="s">
        <v>794</v>
      </c>
      <c r="N518" s="23" t="s">
        <v>55</v>
      </c>
      <c r="O518" s="23" t="s">
        <v>59</v>
      </c>
      <c r="P518" s="23" t="s">
        <v>60</v>
      </c>
      <c r="Q518" s="23" t="s">
        <v>1125</v>
      </c>
      <c r="R518" s="34" t="s">
        <v>1454</v>
      </c>
      <c r="S518" s="23"/>
      <c r="T518" s="34" t="s">
        <v>1455</v>
      </c>
      <c r="U518" s="22" t="s">
        <v>794</v>
      </c>
      <c r="V518" s="23" t="s">
        <v>946</v>
      </c>
      <c r="W518" s="23" t="s">
        <v>1129</v>
      </c>
      <c r="X518" s="23" t="e">
        <f>IF(COUNTIF(#REF!,_xlfn.TEXTJOIN(".",,C518,F518,H518)),"是","否")</f>
        <v>#REF!</v>
      </c>
      <c r="Y518" s="23" t="e">
        <f t="shared" si="198"/>
        <v>#REF!</v>
      </c>
      <c r="Z518" s="1"/>
      <c r="AA518" s="38"/>
      <c r="AB518" s="38"/>
      <c r="AC518" s="38"/>
      <c r="AD518" s="38"/>
      <c r="AE518" s="38"/>
      <c r="AF518" s="38"/>
      <c r="AG518" s="38"/>
      <c r="AH518" s="38"/>
      <c r="AI518" s="38"/>
      <c r="AJ518" s="1" t="s">
        <v>1472</v>
      </c>
      <c r="AK518" s="1"/>
      <c r="AL518" s="1"/>
    </row>
    <row r="519" spans="1:38" hidden="1" x14ac:dyDescent="0.25">
      <c r="A519" s="24">
        <f t="shared" si="197"/>
        <v>518</v>
      </c>
      <c r="B519" s="25" t="s">
        <v>1103</v>
      </c>
      <c r="C519" s="25" t="s">
        <v>1128</v>
      </c>
      <c r="D519" s="27" t="s">
        <v>1448</v>
      </c>
      <c r="E519" s="25" t="s">
        <v>998</v>
      </c>
      <c r="F519" s="25" t="s">
        <v>71</v>
      </c>
      <c r="G519" s="25" t="s">
        <v>84</v>
      </c>
      <c r="H519" s="25" t="s">
        <v>85</v>
      </c>
      <c r="I519" s="25" t="s">
        <v>1041</v>
      </c>
      <c r="J519" s="25" t="s">
        <v>38</v>
      </c>
      <c r="K519" s="25">
        <v>60</v>
      </c>
      <c r="L519" s="25" t="s">
        <v>39</v>
      </c>
      <c r="M519" s="25" t="s">
        <v>58</v>
      </c>
      <c r="N519" s="23" t="s">
        <v>55</v>
      </c>
      <c r="O519" s="23" t="s">
        <v>59</v>
      </c>
      <c r="P519" s="23" t="s">
        <v>60</v>
      </c>
      <c r="Q519" s="23">
        <v>3</v>
      </c>
      <c r="R519" s="23" t="s">
        <v>61</v>
      </c>
      <c r="S519" s="23"/>
      <c r="T519" s="23">
        <v>95</v>
      </c>
      <c r="U519" s="23" t="s">
        <v>58</v>
      </c>
      <c r="V519" s="23" t="s">
        <v>946</v>
      </c>
      <c r="W519" s="23"/>
      <c r="X519" s="23" t="e">
        <f>IF(COUNTIF(#REF!,_xlfn.TEXTJOIN(".",,C519,F519,H519)),"是","否")</f>
        <v>#REF!</v>
      </c>
      <c r="Y519" s="23" t="e">
        <f t="shared" si="198"/>
        <v>#REF!</v>
      </c>
      <c r="Z519" s="1"/>
      <c r="AA519" s="38"/>
      <c r="AB519" s="38"/>
      <c r="AC519" s="38"/>
      <c r="AD519" s="38"/>
      <c r="AE519" s="38"/>
      <c r="AF519" s="38"/>
      <c r="AG519" s="38"/>
      <c r="AH519" s="38"/>
      <c r="AI519" s="38"/>
      <c r="AJ519" s="1" t="s">
        <v>1473</v>
      </c>
      <c r="AK519" s="1"/>
      <c r="AL519" s="1"/>
    </row>
    <row r="520" spans="1:38" hidden="1" x14ac:dyDescent="0.25">
      <c r="A520" s="24">
        <f t="shared" ref="A520:A521" si="199">ROW()-1</f>
        <v>519</v>
      </c>
      <c r="B520" s="25" t="s">
        <v>1103</v>
      </c>
      <c r="C520" s="25" t="s">
        <v>1128</v>
      </c>
      <c r="D520" s="27" t="s">
        <v>1448</v>
      </c>
      <c r="E520" s="25" t="s">
        <v>998</v>
      </c>
      <c r="F520" s="25" t="s">
        <v>71</v>
      </c>
      <c r="G520" s="25" t="s">
        <v>88</v>
      </c>
      <c r="H520" s="25" t="s">
        <v>89</v>
      </c>
      <c r="I520" s="22" t="s">
        <v>1042</v>
      </c>
      <c r="J520" s="22" t="s">
        <v>38</v>
      </c>
      <c r="K520" s="22">
        <v>60</v>
      </c>
      <c r="L520" s="22" t="s">
        <v>39</v>
      </c>
      <c r="M520" s="22"/>
      <c r="N520" s="23" t="s">
        <v>55</v>
      </c>
      <c r="O520" s="23" t="s">
        <v>59</v>
      </c>
      <c r="P520" s="23" t="s">
        <v>60</v>
      </c>
      <c r="Q520" s="23">
        <v>3</v>
      </c>
      <c r="R520" s="23" t="s">
        <v>61</v>
      </c>
      <c r="S520" s="23">
        <v>1</v>
      </c>
      <c r="T520" s="23"/>
      <c r="U520" s="22"/>
      <c r="V520" s="23" t="s">
        <v>459</v>
      </c>
      <c r="W520" s="23"/>
      <c r="X520" s="23" t="e">
        <f>IF(COUNTIF(#REF!,_xlfn.TEXTJOIN(".",,C520,F520,H520)),"是","否")</f>
        <v>#REF!</v>
      </c>
      <c r="Y520" s="23" t="e">
        <f t="shared" ref="Y520:Y521" si="200">IF(AND(O520="底线指标",X520="是"),"是","否")</f>
        <v>#REF!</v>
      </c>
      <c r="Z520" s="1"/>
      <c r="AA520" s="38"/>
      <c r="AB520" s="38"/>
      <c r="AC520" s="38"/>
      <c r="AD520" s="38"/>
      <c r="AE520" s="38"/>
      <c r="AF520" s="38"/>
      <c r="AG520" s="38"/>
      <c r="AH520" s="38"/>
      <c r="AI520" s="38"/>
      <c r="AJ520" s="1" t="s">
        <v>1474</v>
      </c>
      <c r="AK520" s="1"/>
      <c r="AL520" s="1"/>
    </row>
    <row r="521" spans="1:38" hidden="1" x14ac:dyDescent="0.25">
      <c r="A521" s="24">
        <f t="shared" si="199"/>
        <v>520</v>
      </c>
      <c r="B521" s="25" t="s">
        <v>1103</v>
      </c>
      <c r="C521" s="25" t="s">
        <v>1128</v>
      </c>
      <c r="D521" s="27" t="s">
        <v>1448</v>
      </c>
      <c r="E521" s="25" t="s">
        <v>998</v>
      </c>
      <c r="F521" s="25" t="s">
        <v>71</v>
      </c>
      <c r="G521" s="25" t="s">
        <v>86</v>
      </c>
      <c r="H521" s="25" t="s">
        <v>87</v>
      </c>
      <c r="I521" s="25" t="s">
        <v>110</v>
      </c>
      <c r="J521" s="25" t="s">
        <v>38</v>
      </c>
      <c r="K521" s="25">
        <v>60</v>
      </c>
      <c r="L521" s="25" t="s">
        <v>39</v>
      </c>
      <c r="M521" s="25" t="s">
        <v>58</v>
      </c>
      <c r="N521" s="23" t="s">
        <v>55</v>
      </c>
      <c r="O521" s="23" t="s">
        <v>59</v>
      </c>
      <c r="P521" s="23" t="s">
        <v>60</v>
      </c>
      <c r="Q521" s="23">
        <v>3</v>
      </c>
      <c r="R521" s="23" t="s">
        <v>61</v>
      </c>
      <c r="S521" s="23"/>
      <c r="T521" s="23">
        <v>95</v>
      </c>
      <c r="U521" s="23" t="s">
        <v>58</v>
      </c>
      <c r="V521" s="23" t="s">
        <v>946</v>
      </c>
      <c r="W521" s="23"/>
      <c r="X521" s="23" t="e">
        <f>IF(COUNTIF(#REF!,_xlfn.TEXTJOIN(".",,C521,F521,H521)),"是","否")</f>
        <v>#REF!</v>
      </c>
      <c r="Y521" s="23" t="e">
        <f t="shared" si="200"/>
        <v>#REF!</v>
      </c>
      <c r="Z521" s="1"/>
      <c r="AA521" s="38"/>
      <c r="AB521" s="38"/>
      <c r="AC521" s="38"/>
      <c r="AD521" s="38"/>
      <c r="AE521" s="38"/>
      <c r="AF521" s="38"/>
      <c r="AG521" s="38"/>
      <c r="AH521" s="38"/>
      <c r="AI521" s="38"/>
      <c r="AJ521" s="1" t="s">
        <v>1475</v>
      </c>
      <c r="AK521" s="1"/>
      <c r="AL521" s="1"/>
    </row>
    <row r="522" spans="1:38" hidden="1" x14ac:dyDescent="0.25">
      <c r="A522" s="24">
        <f t="shared" ref="A522" si="201">ROW()-1</f>
        <v>521</v>
      </c>
      <c r="B522" s="25" t="s">
        <v>1103</v>
      </c>
      <c r="C522" s="25" t="s">
        <v>1128</v>
      </c>
      <c r="D522" s="27" t="s">
        <v>1448</v>
      </c>
      <c r="E522" s="25" t="s">
        <v>1063</v>
      </c>
      <c r="F522" s="25" t="s">
        <v>1064</v>
      </c>
      <c r="G522" s="25" t="s">
        <v>92</v>
      </c>
      <c r="H522" s="25" t="s">
        <v>93</v>
      </c>
      <c r="I522" s="22" t="s">
        <v>1065</v>
      </c>
      <c r="J522" s="22" t="s">
        <v>38</v>
      </c>
      <c r="K522" s="22">
        <v>60</v>
      </c>
      <c r="L522" s="22" t="s">
        <v>39</v>
      </c>
      <c r="M522" s="22" t="s">
        <v>58</v>
      </c>
      <c r="N522" s="23" t="s">
        <v>55</v>
      </c>
      <c r="O522" s="23" t="s">
        <v>59</v>
      </c>
      <c r="P522" s="23" t="s">
        <v>60</v>
      </c>
      <c r="Q522" s="23">
        <v>3</v>
      </c>
      <c r="R522" s="23" t="s">
        <v>61</v>
      </c>
      <c r="S522" s="23">
        <v>80</v>
      </c>
      <c r="T522" s="23">
        <v>90</v>
      </c>
      <c r="U522" s="23" t="s">
        <v>58</v>
      </c>
      <c r="V522" s="23" t="s">
        <v>62</v>
      </c>
      <c r="W522" s="23"/>
      <c r="X522" s="23" t="e">
        <f>IF(COUNTIF(#REF!,_xlfn.TEXTJOIN(".",,C522,F522,H522)),"是","否")</f>
        <v>#REF!</v>
      </c>
      <c r="Y522" s="23" t="e">
        <f t="shared" ref="Y522" si="202">IF(AND(O522="底线指标",X522="是"),"是","否")</f>
        <v>#REF!</v>
      </c>
      <c r="Z522" s="1"/>
      <c r="AA522" s="38"/>
      <c r="AB522" s="38"/>
      <c r="AC522" s="38"/>
      <c r="AD522" s="38"/>
      <c r="AE522" s="38"/>
      <c r="AF522" s="38"/>
      <c r="AG522" s="38"/>
      <c r="AH522" s="38"/>
      <c r="AI522" s="38"/>
      <c r="AJ522" s="1" t="s">
        <v>1476</v>
      </c>
      <c r="AK522" s="1"/>
      <c r="AL522" s="1"/>
    </row>
    <row r="523" spans="1:38" hidden="1" x14ac:dyDescent="0.25">
      <c r="A523" s="24">
        <f t="shared" ref="A523:A524" si="203">ROW()-1</f>
        <v>522</v>
      </c>
      <c r="B523" s="25" t="s">
        <v>1103</v>
      </c>
      <c r="C523" s="25" t="s">
        <v>1128</v>
      </c>
      <c r="D523" s="27" t="s">
        <v>1448</v>
      </c>
      <c r="E523" s="25" t="s">
        <v>1087</v>
      </c>
      <c r="F523" s="25" t="s">
        <v>1088</v>
      </c>
      <c r="G523" s="25" t="s">
        <v>1438</v>
      </c>
      <c r="H523" s="25" t="s">
        <v>1439</v>
      </c>
      <c r="I523" s="25" t="s">
        <v>1440</v>
      </c>
      <c r="J523" s="25" t="s">
        <v>38</v>
      </c>
      <c r="K523" s="27">
        <v>60</v>
      </c>
      <c r="L523" s="27" t="s">
        <v>39</v>
      </c>
      <c r="M523" s="25" t="s">
        <v>172</v>
      </c>
      <c r="N523" s="23" t="s">
        <v>55</v>
      </c>
      <c r="O523" s="23" t="s">
        <v>59</v>
      </c>
      <c r="P523" s="23" t="s">
        <v>60</v>
      </c>
      <c r="Q523" s="23" t="s">
        <v>1125</v>
      </c>
      <c r="R523" s="23" t="s">
        <v>334</v>
      </c>
      <c r="S523" s="23">
        <v>5</v>
      </c>
      <c r="T523" s="23" t="s">
        <v>1110</v>
      </c>
      <c r="U523" s="23" t="s">
        <v>58</v>
      </c>
      <c r="V523" s="23" t="s">
        <v>946</v>
      </c>
      <c r="W523" s="23" t="s">
        <v>1129</v>
      </c>
      <c r="X523" s="23" t="e">
        <f>IF(COUNTIF(#REF!,_xlfn.TEXTJOIN(".",,C523,F523,H523)),"是","否")</f>
        <v>#REF!</v>
      </c>
      <c r="Y523" s="23" t="e">
        <f t="shared" ref="Y523:Y524" si="204">IF(AND(O523="底线指标",X523="是"),"是","否")</f>
        <v>#REF!</v>
      </c>
      <c r="Z523" s="1"/>
      <c r="AA523" s="38"/>
      <c r="AB523" s="38"/>
      <c r="AC523" s="38"/>
      <c r="AD523" s="38"/>
      <c r="AE523" s="38"/>
      <c r="AF523" s="38"/>
      <c r="AG523" s="38"/>
      <c r="AH523" s="38"/>
      <c r="AI523" s="38"/>
      <c r="AJ523" s="1" t="s">
        <v>1477</v>
      </c>
      <c r="AK523" s="1"/>
      <c r="AL523" s="1"/>
    </row>
    <row r="524" spans="1:38" hidden="1" x14ac:dyDescent="0.25">
      <c r="A524" s="24">
        <f t="shared" si="203"/>
        <v>523</v>
      </c>
      <c r="B524" s="25" t="s">
        <v>1103</v>
      </c>
      <c r="C524" s="25" t="s">
        <v>1128</v>
      </c>
      <c r="D524" s="27" t="s">
        <v>1448</v>
      </c>
      <c r="E524" s="25" t="s">
        <v>1087</v>
      </c>
      <c r="F524" s="25" t="s">
        <v>1088</v>
      </c>
      <c r="G524" s="25" t="s">
        <v>1441</v>
      </c>
      <c r="H524" s="25" t="s">
        <v>1442</v>
      </c>
      <c r="I524" s="25" t="s">
        <v>1443</v>
      </c>
      <c r="J524" s="25" t="s">
        <v>38</v>
      </c>
      <c r="K524" s="27">
        <v>60</v>
      </c>
      <c r="L524" s="27" t="s">
        <v>39</v>
      </c>
      <c r="M524" s="25" t="s">
        <v>172</v>
      </c>
      <c r="N524" s="23" t="s">
        <v>55</v>
      </c>
      <c r="O524" s="23" t="s">
        <v>59</v>
      </c>
      <c r="P524" s="23" t="s">
        <v>60</v>
      </c>
      <c r="Q524" s="23" t="s">
        <v>1125</v>
      </c>
      <c r="R524" s="23" t="s">
        <v>334</v>
      </c>
      <c r="S524" s="23">
        <v>5</v>
      </c>
      <c r="T524" s="23" t="s">
        <v>1110</v>
      </c>
      <c r="U524" s="23" t="s">
        <v>58</v>
      </c>
      <c r="V524" s="23" t="s">
        <v>946</v>
      </c>
      <c r="W524" s="23" t="s">
        <v>1129</v>
      </c>
      <c r="X524" s="23" t="e">
        <f>IF(COUNTIF(#REF!,_xlfn.TEXTJOIN(".",,C524,F524,H524)),"是","否")</f>
        <v>#REF!</v>
      </c>
      <c r="Y524" s="23" t="e">
        <f t="shared" si="204"/>
        <v>#REF!</v>
      </c>
      <c r="Z524" s="1"/>
      <c r="AA524" s="38"/>
      <c r="AB524" s="38"/>
      <c r="AC524" s="38"/>
      <c r="AD524" s="38"/>
      <c r="AE524" s="38"/>
      <c r="AF524" s="38"/>
      <c r="AG524" s="38"/>
      <c r="AH524" s="38"/>
      <c r="AI524" s="38"/>
      <c r="AJ524" s="1" t="s">
        <v>1478</v>
      </c>
      <c r="AK524" s="1"/>
      <c r="AL524" s="1"/>
    </row>
  </sheetData>
  <autoFilter ref="A1:AL524" xr:uid="{00000000-0001-0000-0000-000000000000}">
    <filterColumn colId="3">
      <filters>
        <filter val="DCS"/>
      </filters>
    </filterColumn>
  </autoFilter>
  <phoneticPr fontId="1" type="noConversion"/>
  <dataValidations count="8">
    <dataValidation type="list" errorStyle="information" allowBlank="1" showErrorMessage="1" errorTitle="错误提示" error="请输入下拉列表中的一个值" sqref="Q26 P27:P524 P1:P25" xr:uid="{F04494C4-32B2-4871-BA5A-8EEAF0552004}">
      <formula1>"原始值,平均值,最大值,最小值,方差值,求和值"</formula1>
    </dataValidation>
    <dataValidation type="list" errorStyle="information" allowBlank="1" showErrorMessage="1" errorTitle="错误提示" error="请输入下拉列表中的一个值" sqref="R26 Q27:Q524 Q1:Q25" xr:uid="{B5E821C7-25E6-49F8-9689-D15A9B0645EB}">
      <formula1>"1,2,3,4,5,10,15,30,60,90,120,180"</formula1>
    </dataValidation>
    <dataValidation type="list" errorStyle="information" allowBlank="1" showErrorMessage="1" errorTitle="错误提示" error="请输入下拉列表中的一个值" sqref="S26 R27:R524 R1:R25" xr:uid="{D0886EAD-5917-4C3D-8D33-B28F178EE815}">
      <formula1>"&gt;=,&gt;,&lt;=,&lt;,=,!=,环比上升,环比下降,环比波动"</formula1>
    </dataValidation>
    <dataValidation type="list" errorStyle="information" allowBlank="1" showErrorMessage="1" errorTitle="错误提示" error="请输入下拉列表中的一个值" sqref="V287:V524 V1:V284" xr:uid="{EF3474DD-4822-4245-A19E-5AD47919B8A7}">
      <formula1>"1小时,1天,只告警一次,5分钟,10分钟,15分钟,30分钟,3小时,6小时,12小时"</formula1>
    </dataValidation>
    <dataValidation type="list" errorStyle="information" allowBlank="1" showErrorMessage="1" errorTitle="错误提示" error="请输入下拉列表中的一个值" sqref="O1:O524" xr:uid="{5D4ED66C-1004-4B35-B50C-81D52A8865A4}">
      <formula1>"底线指标,重要指标,运维侧指标(命名空间是SRE.XXX),其他指标"</formula1>
    </dataValidation>
    <dataValidation errorStyle="information" allowBlank="1" showErrorMessage="1" sqref="W1:Z524" xr:uid="{6E323C00-0286-453A-8368-A8320D431435}"/>
    <dataValidation type="list" errorStyle="information" allowBlank="1" showErrorMessage="1" errorTitle="错误提示" error="请输入下拉列表中的一个值" sqref="AK1:AK524" xr:uid="{4D6078C1-C54D-4837-93D4-9D0D37D79AB0}">
      <formula1>"资源稳定,性能高效,架构优化,安全稳固,成本精益"</formula1>
    </dataValidation>
    <dataValidation type="list" errorStyle="information" allowBlank="1" showErrorMessage="1" errorTitle="错误提示" error="请输入下拉列表中的一个值" sqref="AL1:AL524" xr:uid="{656D1B58-C61C-4207-BC54-9A721581806B}">
      <formula1>"是,否,不确认"</formula1>
    </dataValidation>
  </dataValidations>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59"/>
  <sheetViews>
    <sheetView zoomScaleNormal="100" workbookViewId="0">
      <selection activeCell="S1" sqref="S1:S1048576"/>
    </sheetView>
  </sheetViews>
  <sheetFormatPr defaultRowHeight="14" x14ac:dyDescent="0.25"/>
  <sheetData>
    <row r="1" spans="1:22" ht="24" x14ac:dyDescent="0.25">
      <c r="A1" s="5" t="s">
        <v>0</v>
      </c>
      <c r="B1" s="5" t="s">
        <v>1</v>
      </c>
      <c r="C1" s="5" t="s">
        <v>2</v>
      </c>
      <c r="D1" s="5" t="s">
        <v>3</v>
      </c>
      <c r="E1" s="6" t="s">
        <v>1479</v>
      </c>
      <c r="F1" s="6" t="s">
        <v>1480</v>
      </c>
      <c r="G1" s="6" t="s">
        <v>1481</v>
      </c>
      <c r="H1" s="6" t="s">
        <v>1482</v>
      </c>
      <c r="I1" s="6" t="s">
        <v>1483</v>
      </c>
      <c r="J1" s="7" t="s">
        <v>13</v>
      </c>
      <c r="K1" s="7" t="s">
        <v>1484</v>
      </c>
      <c r="L1" s="7" t="s">
        <v>1485</v>
      </c>
      <c r="M1" s="7" t="s">
        <v>1486</v>
      </c>
      <c r="N1" s="7" t="s">
        <v>1487</v>
      </c>
      <c r="O1" s="7" t="s">
        <v>1488</v>
      </c>
      <c r="P1" s="7" t="s">
        <v>21</v>
      </c>
      <c r="Q1" s="4" t="s">
        <v>22</v>
      </c>
      <c r="R1" s="8" t="s">
        <v>1489</v>
      </c>
      <c r="S1" s="8" t="s">
        <v>1490</v>
      </c>
      <c r="T1" s="9" t="s">
        <v>34</v>
      </c>
      <c r="U1" s="10" t="s">
        <v>1491</v>
      </c>
      <c r="V1" s="10" t="s">
        <v>1492</v>
      </c>
    </row>
    <row r="2" spans="1:22" ht="149.5" x14ac:dyDescent="0.25">
      <c r="A2" s="12">
        <v>5</v>
      </c>
      <c r="B2" s="12" t="s">
        <v>963</v>
      </c>
      <c r="C2" s="12" t="s">
        <v>964</v>
      </c>
      <c r="D2" s="13" t="s">
        <v>965</v>
      </c>
      <c r="E2" s="12" t="s">
        <v>1493</v>
      </c>
      <c r="F2" s="12" t="s">
        <v>1494</v>
      </c>
      <c r="G2" s="12" t="s">
        <v>1495</v>
      </c>
      <c r="H2" s="12" t="s">
        <v>1496</v>
      </c>
      <c r="I2" s="12" t="s">
        <v>1497</v>
      </c>
      <c r="J2" s="4" t="s">
        <v>55</v>
      </c>
      <c r="K2" s="4" t="s">
        <v>1498</v>
      </c>
      <c r="L2" s="4" t="s">
        <v>1499</v>
      </c>
      <c r="M2" s="4" t="s">
        <v>1500</v>
      </c>
      <c r="N2" s="4"/>
      <c r="O2" s="4"/>
      <c r="P2" s="4"/>
      <c r="Q2" s="2"/>
      <c r="R2" s="2" t="s">
        <v>1110</v>
      </c>
      <c r="S2" s="2" t="str">
        <f>IF(L2=R2,"","否")</f>
        <v>否</v>
      </c>
      <c r="T2" s="11"/>
      <c r="U2" s="10" t="str">
        <f>C2&amp;F2</f>
        <v>SYS.DBPROXYproxy_connection_failure_to_db</v>
      </c>
      <c r="V2" s="10" t="b">
        <f>ISNUMBER(MATCH(U2,#REF!,0))</f>
        <v>0</v>
      </c>
    </row>
    <row r="3" spans="1:22" ht="115" x14ac:dyDescent="0.25">
      <c r="A3" s="12">
        <v>6</v>
      </c>
      <c r="B3" s="12" t="s">
        <v>963</v>
      </c>
      <c r="C3" s="12" t="s">
        <v>964</v>
      </c>
      <c r="D3" s="13" t="s">
        <v>965</v>
      </c>
      <c r="E3" s="12" t="s">
        <v>1501</v>
      </c>
      <c r="F3" s="12" t="s">
        <v>1502</v>
      </c>
      <c r="G3" s="12" t="s">
        <v>1503</v>
      </c>
      <c r="H3" s="12" t="s">
        <v>1504</v>
      </c>
      <c r="I3" s="12" t="s">
        <v>1505</v>
      </c>
      <c r="J3" s="4" t="s">
        <v>55</v>
      </c>
      <c r="K3" s="4" t="s">
        <v>1498</v>
      </c>
      <c r="L3" s="4" t="s">
        <v>1499</v>
      </c>
      <c r="M3" s="4" t="s">
        <v>1500</v>
      </c>
      <c r="N3" s="4"/>
      <c r="O3" s="4"/>
      <c r="P3" s="4"/>
      <c r="Q3" s="2"/>
      <c r="R3" s="2" t="s">
        <v>1110</v>
      </c>
      <c r="S3" s="2" t="str">
        <f t="shared" ref="S3:S66" si="0">IF(L3=R3,"","否")</f>
        <v>否</v>
      </c>
      <c r="T3" s="11"/>
      <c r="U3" s="10" t="str">
        <f t="shared" ref="U3:U66" si="1">C3&amp;F3</f>
        <v>SYS.DBPROXYproxy_connection_failure_to_replica</v>
      </c>
      <c r="V3" s="10" t="b">
        <f>ISNUMBER(MATCH(U3,#REF!,0))</f>
        <v>0</v>
      </c>
    </row>
    <row r="4" spans="1:22" ht="57.5" x14ac:dyDescent="0.25">
      <c r="A4" s="12">
        <v>7</v>
      </c>
      <c r="B4" s="12" t="s">
        <v>963</v>
      </c>
      <c r="C4" s="12" t="s">
        <v>964</v>
      </c>
      <c r="D4" s="13" t="s">
        <v>965</v>
      </c>
      <c r="E4" s="12" t="s">
        <v>1506</v>
      </c>
      <c r="F4" s="12" t="s">
        <v>1507</v>
      </c>
      <c r="G4" s="12" t="s">
        <v>1508</v>
      </c>
      <c r="H4" s="12" t="s">
        <v>1509</v>
      </c>
      <c r="I4" s="12" t="s">
        <v>1497</v>
      </c>
      <c r="J4" s="4" t="s">
        <v>55</v>
      </c>
      <c r="K4" s="4" t="s">
        <v>1498</v>
      </c>
      <c r="L4" s="4" t="s">
        <v>1499</v>
      </c>
      <c r="M4" s="4" t="s">
        <v>1500</v>
      </c>
      <c r="N4" s="4"/>
      <c r="O4" s="4"/>
      <c r="P4" s="4"/>
      <c r="Q4" s="2"/>
      <c r="R4" s="2" t="s">
        <v>1110</v>
      </c>
      <c r="S4" s="2" t="str">
        <f t="shared" si="0"/>
        <v>否</v>
      </c>
      <c r="T4" s="11"/>
      <c r="U4" s="10" t="str">
        <f t="shared" si="1"/>
        <v>SYS.DBPROXYproxy_connection_failure_cause_security_group</v>
      </c>
      <c r="V4" s="10" t="b">
        <f>ISNUMBER(MATCH(U4,#REF!,0))</f>
        <v>0</v>
      </c>
    </row>
    <row r="5" spans="1:22" ht="115" x14ac:dyDescent="0.25">
      <c r="A5" s="12">
        <v>11</v>
      </c>
      <c r="B5" s="12" t="s">
        <v>1510</v>
      </c>
      <c r="C5" s="12" t="s">
        <v>1511</v>
      </c>
      <c r="D5" s="12" t="s">
        <v>1512</v>
      </c>
      <c r="E5" s="12" t="s">
        <v>1513</v>
      </c>
      <c r="F5" s="12" t="s">
        <v>1514</v>
      </c>
      <c r="G5" s="12" t="s">
        <v>1515</v>
      </c>
      <c r="H5" s="12" t="s">
        <v>1516</v>
      </c>
      <c r="I5" s="12" t="s">
        <v>1517</v>
      </c>
      <c r="J5" s="4" t="s">
        <v>55</v>
      </c>
      <c r="K5" s="4" t="s">
        <v>1498</v>
      </c>
      <c r="L5" s="4" t="s">
        <v>1518</v>
      </c>
      <c r="M5" s="4" t="s">
        <v>1500</v>
      </c>
      <c r="N5" s="4"/>
      <c r="O5" s="4"/>
      <c r="P5" s="4"/>
      <c r="Q5" s="2"/>
      <c r="R5" s="2" t="s">
        <v>1110</v>
      </c>
      <c r="S5" s="2" t="str">
        <f t="shared" si="0"/>
        <v>否</v>
      </c>
      <c r="T5" s="11"/>
      <c r="U5" s="10" t="str">
        <f t="shared" si="1"/>
        <v>SYS.EIPblockEIP</v>
      </c>
      <c r="V5" s="10" t="b">
        <f>ISNUMBER(MATCH(U5,#REF!,0))</f>
        <v>0</v>
      </c>
    </row>
    <row r="6" spans="1:22" ht="46" x14ac:dyDescent="0.25">
      <c r="A6" s="12">
        <v>13</v>
      </c>
      <c r="B6" s="12" t="s">
        <v>1510</v>
      </c>
      <c r="C6" s="12" t="s">
        <v>1511</v>
      </c>
      <c r="D6" s="12" t="s">
        <v>1512</v>
      </c>
      <c r="E6" s="12" t="s">
        <v>1520</v>
      </c>
      <c r="F6" s="12" t="s">
        <v>1521</v>
      </c>
      <c r="G6" s="12" t="s">
        <v>1522</v>
      </c>
      <c r="H6" s="12" t="s">
        <v>1523</v>
      </c>
      <c r="I6" s="12" t="s">
        <v>1524</v>
      </c>
      <c r="J6" s="4" t="s">
        <v>55</v>
      </c>
      <c r="K6" s="4" t="s">
        <v>1498</v>
      </c>
      <c r="L6" s="4" t="s">
        <v>1525</v>
      </c>
      <c r="M6" s="4" t="s">
        <v>1500</v>
      </c>
      <c r="N6" s="4"/>
      <c r="O6" s="4"/>
      <c r="P6" s="4"/>
      <c r="Q6" s="2"/>
      <c r="R6" s="2" t="s">
        <v>1110</v>
      </c>
      <c r="S6" s="2" t="str">
        <f t="shared" si="0"/>
        <v>否</v>
      </c>
      <c r="T6" s="11" t="s">
        <v>302</v>
      </c>
      <c r="U6" s="10" t="str">
        <f t="shared" si="1"/>
        <v>SYS.EIPddosCleanEIP</v>
      </c>
      <c r="V6" s="10" t="b">
        <f>ISNUMBER(MATCH(U6,#REF!,0))</f>
        <v>0</v>
      </c>
    </row>
    <row r="7" spans="1:22" ht="46" x14ac:dyDescent="0.25">
      <c r="A7" s="12">
        <v>14</v>
      </c>
      <c r="B7" s="12" t="s">
        <v>1510</v>
      </c>
      <c r="C7" s="12" t="s">
        <v>1511</v>
      </c>
      <c r="D7" s="12" t="s">
        <v>1512</v>
      </c>
      <c r="E7" s="12" t="s">
        <v>1526</v>
      </c>
      <c r="F7" s="12" t="s">
        <v>1527</v>
      </c>
      <c r="G7" s="12" t="s">
        <v>1528</v>
      </c>
      <c r="H7" s="12" t="s">
        <v>1523</v>
      </c>
      <c r="I7" s="12" t="s">
        <v>1524</v>
      </c>
      <c r="J7" s="4" t="s">
        <v>55</v>
      </c>
      <c r="K7" s="4" t="s">
        <v>1498</v>
      </c>
      <c r="L7" s="4" t="s">
        <v>1499</v>
      </c>
      <c r="M7" s="4" t="s">
        <v>1500</v>
      </c>
      <c r="N7" s="4"/>
      <c r="O7" s="4"/>
      <c r="P7" s="4"/>
      <c r="Q7" s="2"/>
      <c r="R7" s="2" t="s">
        <v>1110</v>
      </c>
      <c r="S7" s="2" t="str">
        <f t="shared" si="0"/>
        <v>否</v>
      </c>
      <c r="T7" s="11" t="s">
        <v>302</v>
      </c>
      <c r="U7" s="10" t="str">
        <f t="shared" si="1"/>
        <v>SYS.EIPddosEndCleanEip</v>
      </c>
      <c r="V7" s="10" t="b">
        <f>ISNUMBER(MATCH(U7,#REF!,0))</f>
        <v>0</v>
      </c>
    </row>
    <row r="8" spans="1:22" ht="69" x14ac:dyDescent="0.25">
      <c r="A8" s="12">
        <v>17</v>
      </c>
      <c r="B8" s="12" t="s">
        <v>1414</v>
      </c>
      <c r="C8" s="12" t="s">
        <v>1415</v>
      </c>
      <c r="D8" s="12" t="s">
        <v>1416</v>
      </c>
      <c r="E8" s="12" t="s">
        <v>1529</v>
      </c>
      <c r="F8" s="12" t="s">
        <v>1530</v>
      </c>
      <c r="G8" s="12" t="s">
        <v>1531</v>
      </c>
      <c r="H8" s="12" t="s">
        <v>1532</v>
      </c>
      <c r="I8" s="12" t="s">
        <v>1533</v>
      </c>
      <c r="J8" s="4" t="s">
        <v>55</v>
      </c>
      <c r="K8" s="4" t="s">
        <v>1498</v>
      </c>
      <c r="L8" s="4" t="s">
        <v>1499</v>
      </c>
      <c r="M8" s="4" t="s">
        <v>1500</v>
      </c>
      <c r="N8" s="14"/>
      <c r="O8" s="14"/>
      <c r="P8" s="14"/>
      <c r="Q8" s="2"/>
      <c r="R8" s="2" t="s">
        <v>1110</v>
      </c>
      <c r="S8" s="2" t="str">
        <f t="shared" si="0"/>
        <v>否</v>
      </c>
      <c r="T8" s="11" t="s">
        <v>302</v>
      </c>
      <c r="U8" s="10" t="str">
        <f t="shared" si="1"/>
        <v>SYS.DDSDDSRiskyDataDiskUsage</v>
      </c>
      <c r="V8" s="10" t="b">
        <f>ISNUMBER(MATCH(U8,#REF!,0))</f>
        <v>0</v>
      </c>
    </row>
    <row r="9" spans="1:22" ht="46" x14ac:dyDescent="0.25">
      <c r="A9" s="12">
        <v>18</v>
      </c>
      <c r="B9" s="12" t="s">
        <v>1414</v>
      </c>
      <c r="C9" s="12" t="s">
        <v>1415</v>
      </c>
      <c r="D9" s="12" t="s">
        <v>1416</v>
      </c>
      <c r="E9" s="12" t="s">
        <v>1534</v>
      </c>
      <c r="F9" s="12" t="s">
        <v>1535</v>
      </c>
      <c r="G9" s="12" t="s">
        <v>1536</v>
      </c>
      <c r="H9" s="12" t="s">
        <v>1537</v>
      </c>
      <c r="I9" s="12" t="s">
        <v>1538</v>
      </c>
      <c r="J9" s="4" t="s">
        <v>55</v>
      </c>
      <c r="K9" s="4" t="s">
        <v>1498</v>
      </c>
      <c r="L9" s="14" t="s">
        <v>1518</v>
      </c>
      <c r="M9" s="4" t="s">
        <v>1500</v>
      </c>
      <c r="N9" s="14"/>
      <c r="O9" s="14"/>
      <c r="P9" s="14"/>
      <c r="Q9" s="2"/>
      <c r="R9" s="2" t="s">
        <v>1110</v>
      </c>
      <c r="S9" s="2" t="str">
        <f t="shared" si="0"/>
        <v>否</v>
      </c>
      <c r="T9" s="11"/>
      <c r="U9" s="10" t="str">
        <f t="shared" si="1"/>
        <v>SYS.DDSDDSDataDiskUsageRecovered</v>
      </c>
      <c r="V9" s="10" t="b">
        <f>ISNUMBER(MATCH(U9,#REF!,0))</f>
        <v>0</v>
      </c>
    </row>
    <row r="10" spans="1:22" ht="276" x14ac:dyDescent="0.25">
      <c r="A10" s="12">
        <v>20</v>
      </c>
      <c r="B10" s="12" t="s">
        <v>1414</v>
      </c>
      <c r="C10" s="12" t="s">
        <v>1415</v>
      </c>
      <c r="D10" s="12" t="s">
        <v>1416</v>
      </c>
      <c r="E10" s="12" t="s">
        <v>1539</v>
      </c>
      <c r="F10" s="12" t="s">
        <v>1540</v>
      </c>
      <c r="G10" s="12" t="s">
        <v>1541</v>
      </c>
      <c r="H10" s="12" t="s">
        <v>1542</v>
      </c>
      <c r="I10" s="12" t="s">
        <v>1543</v>
      </c>
      <c r="J10" s="4" t="s">
        <v>55</v>
      </c>
      <c r="K10" s="4" t="s">
        <v>1498</v>
      </c>
      <c r="L10" s="4" t="s">
        <v>1518</v>
      </c>
      <c r="M10" s="4" t="s">
        <v>1500</v>
      </c>
      <c r="N10" s="14"/>
      <c r="O10" s="14"/>
      <c r="P10" s="14"/>
      <c r="Q10" s="2"/>
      <c r="R10" s="2" t="s">
        <v>1499</v>
      </c>
      <c r="S10" s="2" t="str">
        <f t="shared" si="0"/>
        <v>否</v>
      </c>
      <c r="T10" s="11"/>
      <c r="U10" s="10" t="str">
        <f t="shared" si="1"/>
        <v>SYS.DDSDDSAbnormalReplicationStatus</v>
      </c>
      <c r="V10" s="10" t="b">
        <f>ISNUMBER(MATCH(U10,#REF!,0))</f>
        <v>0</v>
      </c>
    </row>
    <row r="11" spans="1:22" ht="69" x14ac:dyDescent="0.25">
      <c r="A11" s="12">
        <v>21</v>
      </c>
      <c r="B11" s="12" t="s">
        <v>1414</v>
      </c>
      <c r="C11" s="12" t="s">
        <v>1415</v>
      </c>
      <c r="D11" s="12" t="s">
        <v>1416</v>
      </c>
      <c r="E11" s="12" t="s">
        <v>1544</v>
      </c>
      <c r="F11" s="12" t="s">
        <v>1545</v>
      </c>
      <c r="G11" s="12" t="s">
        <v>1546</v>
      </c>
      <c r="H11" s="12" t="s">
        <v>1547</v>
      </c>
      <c r="I11" s="12" t="s">
        <v>571</v>
      </c>
      <c r="J11" s="4" t="s">
        <v>55</v>
      </c>
      <c r="K11" s="4" t="s">
        <v>1498</v>
      </c>
      <c r="L11" s="14" t="s">
        <v>1518</v>
      </c>
      <c r="M11" s="4" t="s">
        <v>1500</v>
      </c>
      <c r="N11" s="14"/>
      <c r="O11" s="14"/>
      <c r="P11" s="14"/>
      <c r="Q11" s="2"/>
      <c r="R11" s="2" t="s">
        <v>1110</v>
      </c>
      <c r="S11" s="2" t="str">
        <f t="shared" si="0"/>
        <v>否</v>
      </c>
      <c r="T11" s="11"/>
      <c r="U11" s="10" t="str">
        <f t="shared" si="1"/>
        <v>SYS.DDSDDSReplicationStatusRecovered</v>
      </c>
      <c r="V11" s="10" t="b">
        <f>ISNUMBER(MATCH(U11,#REF!,0))</f>
        <v>0</v>
      </c>
    </row>
    <row r="12" spans="1:22" ht="92" x14ac:dyDescent="0.25">
      <c r="A12" s="12">
        <v>22</v>
      </c>
      <c r="B12" s="12" t="s">
        <v>1414</v>
      </c>
      <c r="C12" s="12" t="s">
        <v>1415</v>
      </c>
      <c r="D12" s="12" t="s">
        <v>1416</v>
      </c>
      <c r="E12" s="12" t="s">
        <v>1548</v>
      </c>
      <c r="F12" s="12" t="s">
        <v>1549</v>
      </c>
      <c r="G12" s="12" t="s">
        <v>1550</v>
      </c>
      <c r="H12" s="12" t="s">
        <v>1551</v>
      </c>
      <c r="I12" s="12" t="s">
        <v>1552</v>
      </c>
      <c r="J12" s="4" t="s">
        <v>55</v>
      </c>
      <c r="K12" s="4" t="s">
        <v>1498</v>
      </c>
      <c r="L12" s="4" t="s">
        <v>1499</v>
      </c>
      <c r="M12" s="4" t="s">
        <v>1500</v>
      </c>
      <c r="N12" s="14"/>
      <c r="O12" s="14"/>
      <c r="P12" s="14"/>
      <c r="Q12" s="2"/>
      <c r="R12" s="2" t="s">
        <v>1499</v>
      </c>
      <c r="S12" s="2" t="str">
        <f t="shared" si="0"/>
        <v/>
      </c>
      <c r="T12" s="11" t="s">
        <v>1519</v>
      </c>
      <c r="U12" s="10" t="str">
        <f t="shared" si="1"/>
        <v>SYS.DDSDDSFaultyDBInstance</v>
      </c>
      <c r="V12" s="10" t="b">
        <f>ISNUMBER(MATCH(U12,#REF!,0))</f>
        <v>0</v>
      </c>
    </row>
    <row r="13" spans="1:22" ht="103.5" x14ac:dyDescent="0.25">
      <c r="A13" s="12">
        <v>23</v>
      </c>
      <c r="B13" s="12" t="s">
        <v>1414</v>
      </c>
      <c r="C13" s="12" t="s">
        <v>1415</v>
      </c>
      <c r="D13" s="12" t="s">
        <v>1416</v>
      </c>
      <c r="E13" s="12" t="s">
        <v>1553</v>
      </c>
      <c r="F13" s="12" t="s">
        <v>1554</v>
      </c>
      <c r="G13" s="12" t="s">
        <v>1555</v>
      </c>
      <c r="H13" s="12" t="s">
        <v>1547</v>
      </c>
      <c r="I13" s="12" t="s">
        <v>571</v>
      </c>
      <c r="J13" s="4" t="s">
        <v>55</v>
      </c>
      <c r="K13" s="4" t="s">
        <v>1498</v>
      </c>
      <c r="L13" s="4" t="s">
        <v>1518</v>
      </c>
      <c r="M13" s="4" t="s">
        <v>1500</v>
      </c>
      <c r="N13" s="14"/>
      <c r="O13" s="14"/>
      <c r="P13" s="14"/>
      <c r="Q13" s="2"/>
      <c r="R13" s="2" t="s">
        <v>1518</v>
      </c>
      <c r="S13" s="2" t="str">
        <f t="shared" si="0"/>
        <v/>
      </c>
      <c r="T13" s="11"/>
      <c r="U13" s="10" t="str">
        <f t="shared" si="1"/>
        <v>SYS.DDSDDSDBInstanceRecovered</v>
      </c>
      <c r="V13" s="10" t="b">
        <f>ISNUMBER(MATCH(U13,#REF!,0))</f>
        <v>0</v>
      </c>
    </row>
    <row r="14" spans="1:22" ht="92" x14ac:dyDescent="0.25">
      <c r="A14" s="12">
        <v>24</v>
      </c>
      <c r="B14" s="12" t="s">
        <v>1414</v>
      </c>
      <c r="C14" s="12" t="s">
        <v>1415</v>
      </c>
      <c r="D14" s="12" t="s">
        <v>1416</v>
      </c>
      <c r="E14" s="12" t="s">
        <v>1556</v>
      </c>
      <c r="F14" s="12" t="s">
        <v>1557</v>
      </c>
      <c r="G14" s="12" t="s">
        <v>1558</v>
      </c>
      <c r="H14" s="12" t="s">
        <v>1551</v>
      </c>
      <c r="I14" s="12" t="s">
        <v>1552</v>
      </c>
      <c r="J14" s="4" t="s">
        <v>55</v>
      </c>
      <c r="K14" s="4" t="s">
        <v>1498</v>
      </c>
      <c r="L14" s="4" t="s">
        <v>1499</v>
      </c>
      <c r="M14" s="4" t="s">
        <v>1500</v>
      </c>
      <c r="N14" s="14"/>
      <c r="O14" s="14"/>
      <c r="P14" s="14"/>
      <c r="Q14" s="2"/>
      <c r="R14" s="2" t="s">
        <v>1518</v>
      </c>
      <c r="S14" s="2" t="str">
        <f t="shared" si="0"/>
        <v>否</v>
      </c>
      <c r="T14" s="11" t="s">
        <v>1519</v>
      </c>
      <c r="U14" s="10" t="str">
        <f t="shared" si="1"/>
        <v>SYS.DDSDDSFaultyDBNode</v>
      </c>
      <c r="V14" s="10" t="b">
        <f>ISNUMBER(MATCH(U14,#REF!,0))</f>
        <v>0</v>
      </c>
    </row>
    <row r="15" spans="1:22" ht="103.5" x14ac:dyDescent="0.25">
      <c r="A15" s="12">
        <v>25</v>
      </c>
      <c r="B15" s="12" t="s">
        <v>1414</v>
      </c>
      <c r="C15" s="12" t="s">
        <v>1415</v>
      </c>
      <c r="D15" s="12" t="s">
        <v>1416</v>
      </c>
      <c r="E15" s="12" t="s">
        <v>1559</v>
      </c>
      <c r="F15" s="12" t="s">
        <v>1560</v>
      </c>
      <c r="G15" s="12" t="s">
        <v>1555</v>
      </c>
      <c r="H15" s="12" t="s">
        <v>1547</v>
      </c>
      <c r="I15" s="12" t="s">
        <v>571</v>
      </c>
      <c r="J15" s="4" t="s">
        <v>55</v>
      </c>
      <c r="K15" s="4" t="s">
        <v>1498</v>
      </c>
      <c r="L15" s="4" t="s">
        <v>1518</v>
      </c>
      <c r="M15" s="4" t="s">
        <v>1500</v>
      </c>
      <c r="N15" s="14"/>
      <c r="O15" s="14"/>
      <c r="P15" s="14"/>
      <c r="Q15" s="2"/>
      <c r="R15" s="2" t="s">
        <v>1518</v>
      </c>
      <c r="S15" s="2" t="str">
        <f t="shared" si="0"/>
        <v/>
      </c>
      <c r="T15" s="11" t="s">
        <v>1519</v>
      </c>
      <c r="U15" s="10" t="str">
        <f t="shared" si="1"/>
        <v>SYS.DDSDDSDBNodeRecovered</v>
      </c>
      <c r="V15" s="10" t="b">
        <f>ISNUMBER(MATCH(U15,#REF!,0))</f>
        <v>0</v>
      </c>
    </row>
    <row r="16" spans="1:22" ht="80.5" x14ac:dyDescent="0.25">
      <c r="A16" s="12">
        <v>26</v>
      </c>
      <c r="B16" s="12" t="s">
        <v>1414</v>
      </c>
      <c r="C16" s="12" t="s">
        <v>1415</v>
      </c>
      <c r="D16" s="12" t="s">
        <v>1416</v>
      </c>
      <c r="E16" s="12" t="s">
        <v>1561</v>
      </c>
      <c r="F16" s="12" t="s">
        <v>1562</v>
      </c>
      <c r="G16" s="12" t="s">
        <v>1563</v>
      </c>
      <c r="H16" s="12" t="s">
        <v>1547</v>
      </c>
      <c r="I16" s="12" t="s">
        <v>571</v>
      </c>
      <c r="J16" s="4" t="s">
        <v>55</v>
      </c>
      <c r="K16" s="4" t="s">
        <v>1498</v>
      </c>
      <c r="L16" s="4" t="s">
        <v>1499</v>
      </c>
      <c r="M16" s="4" t="s">
        <v>1500</v>
      </c>
      <c r="N16" s="14"/>
      <c r="O16" s="14"/>
      <c r="P16" s="14"/>
      <c r="Q16" s="2"/>
      <c r="R16" s="2" t="s">
        <v>1518</v>
      </c>
      <c r="S16" s="2" t="str">
        <f t="shared" si="0"/>
        <v>否</v>
      </c>
      <c r="T16" s="11"/>
      <c r="U16" s="10" t="str">
        <f t="shared" si="1"/>
        <v>SYS.DDSDDSPrimaryStandbySwitched</v>
      </c>
      <c r="V16" s="10" t="b">
        <f>ISNUMBER(MATCH(U16,#REF!,0))</f>
        <v>0</v>
      </c>
    </row>
    <row r="17" spans="1:22" ht="46" x14ac:dyDescent="0.25">
      <c r="A17" s="2">
        <v>58</v>
      </c>
      <c r="B17" s="2" t="s">
        <v>1435</v>
      </c>
      <c r="C17" s="2" t="s">
        <v>1436</v>
      </c>
      <c r="D17" s="2" t="s">
        <v>1437</v>
      </c>
      <c r="E17" s="2" t="s">
        <v>1590</v>
      </c>
      <c r="F17" s="2" t="s">
        <v>1591</v>
      </c>
      <c r="G17" s="2" t="s">
        <v>1592</v>
      </c>
      <c r="H17" s="2" t="s">
        <v>1593</v>
      </c>
      <c r="I17" s="2" t="s">
        <v>1594</v>
      </c>
      <c r="J17" s="4" t="s">
        <v>55</v>
      </c>
      <c r="K17" s="4" t="s">
        <v>1498</v>
      </c>
      <c r="L17" s="4" t="s">
        <v>1499</v>
      </c>
      <c r="M17" s="4" t="s">
        <v>1500</v>
      </c>
      <c r="N17" s="4"/>
      <c r="O17" s="4"/>
      <c r="P17" s="4"/>
      <c r="Q17" s="4" t="s">
        <v>1566</v>
      </c>
      <c r="R17" s="2" t="s">
        <v>1110</v>
      </c>
      <c r="S17" s="2" t="str">
        <f t="shared" si="0"/>
        <v>否</v>
      </c>
      <c r="T17" s="11"/>
      <c r="U17" s="10" t="str">
        <f t="shared" si="1"/>
        <v>SYS.GAendpointAssociatedResourceChanged</v>
      </c>
      <c r="V17" s="10" t="b">
        <f>ISNUMBER(MATCH(U17,#REF!,0))</f>
        <v>0</v>
      </c>
    </row>
    <row r="18" spans="1:22" ht="115" x14ac:dyDescent="0.25">
      <c r="A18" s="2">
        <v>59</v>
      </c>
      <c r="B18" s="2" t="s">
        <v>1435</v>
      </c>
      <c r="C18" s="2" t="s">
        <v>1436</v>
      </c>
      <c r="D18" s="2" t="s">
        <v>1437</v>
      </c>
      <c r="E18" s="2" t="s">
        <v>1595</v>
      </c>
      <c r="F18" s="2" t="s">
        <v>1596</v>
      </c>
      <c r="G18" s="2" t="s">
        <v>1515</v>
      </c>
      <c r="H18" s="2" t="s">
        <v>1597</v>
      </c>
      <c r="I18" s="2" t="s">
        <v>1598</v>
      </c>
      <c r="J18" s="4" t="s">
        <v>55</v>
      </c>
      <c r="K18" s="4" t="s">
        <v>1498</v>
      </c>
      <c r="L18" s="4" t="s">
        <v>1499</v>
      </c>
      <c r="M18" s="4" t="s">
        <v>1500</v>
      </c>
      <c r="N18" s="4"/>
      <c r="O18" s="4"/>
      <c r="P18" s="4"/>
      <c r="Q18" s="2"/>
      <c r="R18" s="2" t="s">
        <v>1499</v>
      </c>
      <c r="S18" s="2" t="str">
        <f t="shared" si="0"/>
        <v/>
      </c>
      <c r="T18" s="11" t="s">
        <v>152</v>
      </c>
      <c r="U18" s="10" t="str">
        <f t="shared" si="1"/>
        <v>SYS.GAblockAIP</v>
      </c>
      <c r="V18" s="10" t="b">
        <f>ISNUMBER(MATCH(U18,#REF!,0))</f>
        <v>0</v>
      </c>
    </row>
    <row r="19" spans="1:22" ht="149.5" x14ac:dyDescent="0.25">
      <c r="A19" s="12">
        <v>63</v>
      </c>
      <c r="B19" s="12" t="s">
        <v>96</v>
      </c>
      <c r="C19" s="12" t="s">
        <v>97</v>
      </c>
      <c r="D19" s="13" t="s">
        <v>98</v>
      </c>
      <c r="E19" s="12" t="s">
        <v>1600</v>
      </c>
      <c r="F19" s="12" t="s">
        <v>1601</v>
      </c>
      <c r="G19" s="12" t="s">
        <v>1602</v>
      </c>
      <c r="H19" s="12" t="s">
        <v>1603</v>
      </c>
      <c r="I19" s="12" t="s">
        <v>1604</v>
      </c>
      <c r="J19" s="4" t="s">
        <v>55</v>
      </c>
      <c r="K19" s="4" t="s">
        <v>1498</v>
      </c>
      <c r="L19" s="4" t="s">
        <v>1499</v>
      </c>
      <c r="M19" s="4" t="s">
        <v>1500</v>
      </c>
      <c r="N19" s="4"/>
      <c r="O19" s="4"/>
      <c r="P19" s="4"/>
      <c r="Q19" s="2"/>
      <c r="R19" s="2" t="s">
        <v>1499</v>
      </c>
      <c r="S19" s="2" t="str">
        <f t="shared" si="0"/>
        <v/>
      </c>
      <c r="T19" s="11" t="s">
        <v>152</v>
      </c>
      <c r="U19" s="10" t="str">
        <f t="shared" si="1"/>
        <v>SYS.GAUSSDBV5ProcessStatusAlarm</v>
      </c>
      <c r="V19" s="10" t="b">
        <f>ISNUMBER(MATCH(U19,#REF!,0))</f>
        <v>0</v>
      </c>
    </row>
    <row r="20" spans="1:22" ht="149.5" x14ac:dyDescent="0.25">
      <c r="A20" s="12">
        <v>64</v>
      </c>
      <c r="B20" s="12" t="s">
        <v>96</v>
      </c>
      <c r="C20" s="12" t="s">
        <v>97</v>
      </c>
      <c r="D20" s="13" t="s">
        <v>98</v>
      </c>
      <c r="E20" s="12" t="s">
        <v>1605</v>
      </c>
      <c r="F20" s="12" t="s">
        <v>1606</v>
      </c>
      <c r="G20" s="12" t="s">
        <v>1607</v>
      </c>
      <c r="H20" s="12" t="s">
        <v>1603</v>
      </c>
      <c r="I20" s="12" t="s">
        <v>1608</v>
      </c>
      <c r="J20" s="4" t="s">
        <v>55</v>
      </c>
      <c r="K20" s="4" t="s">
        <v>1498</v>
      </c>
      <c r="L20" s="4" t="s">
        <v>1499</v>
      </c>
      <c r="M20" s="4" t="s">
        <v>1500</v>
      </c>
      <c r="N20" s="4"/>
      <c r="O20" s="4"/>
      <c r="P20" s="4"/>
      <c r="Q20" s="2"/>
      <c r="R20" s="2" t="s">
        <v>1518</v>
      </c>
      <c r="S20" s="2" t="str">
        <f t="shared" si="0"/>
        <v>否</v>
      </c>
      <c r="T20" s="11"/>
      <c r="U20" s="10" t="str">
        <f t="shared" si="1"/>
        <v>SYS.GAUSSDBV5ComponentStatusAlarm</v>
      </c>
      <c r="V20" s="10" t="b">
        <f>ISNUMBER(MATCH(U20,#REF!,0))</f>
        <v>0</v>
      </c>
    </row>
    <row r="21" spans="1:22" ht="69" x14ac:dyDescent="0.25">
      <c r="A21" s="12">
        <v>65</v>
      </c>
      <c r="B21" s="12" t="s">
        <v>96</v>
      </c>
      <c r="C21" s="12" t="s">
        <v>97</v>
      </c>
      <c r="D21" s="13" t="s">
        <v>98</v>
      </c>
      <c r="E21" s="12" t="s">
        <v>1609</v>
      </c>
      <c r="F21" s="12" t="s">
        <v>1610</v>
      </c>
      <c r="G21" s="12" t="s">
        <v>1611</v>
      </c>
      <c r="H21" s="12" t="s">
        <v>1612</v>
      </c>
      <c r="I21" s="12" t="s">
        <v>1613</v>
      </c>
      <c r="J21" s="4" t="s">
        <v>55</v>
      </c>
      <c r="K21" s="4" t="s">
        <v>1498</v>
      </c>
      <c r="L21" s="4" t="s">
        <v>1499</v>
      </c>
      <c r="M21" s="4" t="s">
        <v>1500</v>
      </c>
      <c r="N21" s="4"/>
      <c r="O21" s="4"/>
      <c r="P21" s="4"/>
      <c r="Q21" s="2"/>
      <c r="R21" s="2" t="s">
        <v>1499</v>
      </c>
      <c r="S21" s="2" t="str">
        <f t="shared" si="0"/>
        <v/>
      </c>
      <c r="T21" s="11" t="s">
        <v>302</v>
      </c>
      <c r="U21" s="10" t="str">
        <f t="shared" si="1"/>
        <v>SYS.GAUSSDBV5ClusterStatusAlarm</v>
      </c>
      <c r="V21" s="10" t="b">
        <f>ISNUMBER(MATCH(U21,#REF!,0))</f>
        <v>0</v>
      </c>
    </row>
    <row r="22" spans="1:22" ht="126.5" x14ac:dyDescent="0.25">
      <c r="A22" s="12">
        <v>67</v>
      </c>
      <c r="B22" s="12" t="s">
        <v>96</v>
      </c>
      <c r="C22" s="12" t="s">
        <v>97</v>
      </c>
      <c r="D22" s="13" t="s">
        <v>98</v>
      </c>
      <c r="E22" s="12" t="s">
        <v>1614</v>
      </c>
      <c r="F22" s="12" t="s">
        <v>1615</v>
      </c>
      <c r="G22" s="12" t="s">
        <v>1616</v>
      </c>
      <c r="H22" s="12" t="s">
        <v>1617</v>
      </c>
      <c r="I22" s="12" t="s">
        <v>1618</v>
      </c>
      <c r="J22" s="4" t="s">
        <v>55</v>
      </c>
      <c r="K22" s="4" t="s">
        <v>1498</v>
      </c>
      <c r="L22" s="4" t="s">
        <v>1499</v>
      </c>
      <c r="M22" s="4" t="s">
        <v>1500</v>
      </c>
      <c r="N22" s="4"/>
      <c r="O22" s="4"/>
      <c r="P22" s="4"/>
      <c r="Q22" s="2"/>
      <c r="R22" s="2" t="s">
        <v>1499</v>
      </c>
      <c r="S22" s="2" t="str">
        <f t="shared" si="0"/>
        <v/>
      </c>
      <c r="T22" s="11" t="s">
        <v>302</v>
      </c>
      <c r="U22" s="10" t="str">
        <f t="shared" si="1"/>
        <v>SYS.GAUSSDBV5StateTransitionAlarm</v>
      </c>
      <c r="V22" s="10" t="b">
        <f>ISNUMBER(MATCH(U22,#REF!,0))</f>
        <v>0</v>
      </c>
    </row>
    <row r="23" spans="1:22" ht="92" x14ac:dyDescent="0.25">
      <c r="A23" s="12">
        <v>69</v>
      </c>
      <c r="B23" s="12" t="s">
        <v>96</v>
      </c>
      <c r="C23" s="12" t="s">
        <v>97</v>
      </c>
      <c r="D23" s="13" t="s">
        <v>98</v>
      </c>
      <c r="E23" s="12" t="s">
        <v>1548</v>
      </c>
      <c r="F23" s="12" t="s">
        <v>1619</v>
      </c>
      <c r="G23" s="12" t="s">
        <v>1550</v>
      </c>
      <c r="H23" s="12" t="s">
        <v>1612</v>
      </c>
      <c r="I23" s="12" t="s">
        <v>1552</v>
      </c>
      <c r="J23" s="4" t="s">
        <v>55</v>
      </c>
      <c r="K23" s="4" t="s">
        <v>1498</v>
      </c>
      <c r="L23" s="4" t="s">
        <v>1499</v>
      </c>
      <c r="M23" s="4" t="s">
        <v>1500</v>
      </c>
      <c r="N23" s="4"/>
      <c r="O23" s="4"/>
      <c r="P23" s="4"/>
      <c r="Q23" s="2"/>
      <c r="R23" s="2" t="s">
        <v>1499</v>
      </c>
      <c r="S23" s="2" t="str">
        <f t="shared" si="0"/>
        <v/>
      </c>
      <c r="T23" s="11" t="s">
        <v>302</v>
      </c>
      <c r="U23" s="10" t="str">
        <f t="shared" si="1"/>
        <v>SYS.GAUSSDBV5GaussDBV5FaultyDBInstance</v>
      </c>
      <c r="V23" s="10" t="b">
        <f>ISNUMBER(MATCH(U23,#REF!,0))</f>
        <v>0</v>
      </c>
    </row>
    <row r="24" spans="1:22" ht="115" x14ac:dyDescent="0.25">
      <c r="A24" s="12">
        <v>70</v>
      </c>
      <c r="B24" s="12" t="s">
        <v>96</v>
      </c>
      <c r="C24" s="12" t="s">
        <v>97</v>
      </c>
      <c r="D24" s="13" t="s">
        <v>98</v>
      </c>
      <c r="E24" s="12" t="s">
        <v>1553</v>
      </c>
      <c r="F24" s="12" t="s">
        <v>1620</v>
      </c>
      <c r="G24" s="12" t="s">
        <v>1621</v>
      </c>
      <c r="H24" s="12" t="s">
        <v>1547</v>
      </c>
      <c r="I24" s="12" t="s">
        <v>571</v>
      </c>
      <c r="J24" s="4" t="s">
        <v>55</v>
      </c>
      <c r="K24" s="4" t="s">
        <v>1498</v>
      </c>
      <c r="L24" s="4" t="s">
        <v>1518</v>
      </c>
      <c r="M24" s="4" t="s">
        <v>1500</v>
      </c>
      <c r="N24" s="4"/>
      <c r="O24" s="4"/>
      <c r="P24" s="4"/>
      <c r="Q24" s="2"/>
      <c r="R24" s="2" t="s">
        <v>1499</v>
      </c>
      <c r="S24" s="2" t="str">
        <f t="shared" si="0"/>
        <v>否</v>
      </c>
      <c r="T24" s="11" t="s">
        <v>302</v>
      </c>
      <c r="U24" s="10" t="str">
        <f t="shared" si="1"/>
        <v>SYS.GAUSSDBV5GaussDBV5InstanceRecovered</v>
      </c>
      <c r="V24" s="10" t="b">
        <f>ISNUMBER(MATCH(U24,#REF!,0))</f>
        <v>0</v>
      </c>
    </row>
    <row r="25" spans="1:22" ht="103.5" x14ac:dyDescent="0.25">
      <c r="A25" s="12">
        <v>71</v>
      </c>
      <c r="B25" s="12" t="s">
        <v>96</v>
      </c>
      <c r="C25" s="12" t="s">
        <v>97</v>
      </c>
      <c r="D25" s="13" t="s">
        <v>98</v>
      </c>
      <c r="E25" s="12" t="s">
        <v>1556</v>
      </c>
      <c r="F25" s="12" t="s">
        <v>1622</v>
      </c>
      <c r="G25" s="12" t="s">
        <v>1558</v>
      </c>
      <c r="H25" s="12" t="s">
        <v>1623</v>
      </c>
      <c r="I25" s="12" t="s">
        <v>1552</v>
      </c>
      <c r="J25" s="4" t="s">
        <v>55</v>
      </c>
      <c r="K25" s="4" t="s">
        <v>1498</v>
      </c>
      <c r="L25" s="4" t="s">
        <v>1499</v>
      </c>
      <c r="M25" s="4" t="s">
        <v>1500</v>
      </c>
      <c r="N25" s="4"/>
      <c r="O25" s="4"/>
      <c r="P25" s="4"/>
      <c r="Q25" s="2"/>
      <c r="R25" s="2" t="s">
        <v>1499</v>
      </c>
      <c r="S25" s="2" t="str">
        <f t="shared" si="0"/>
        <v/>
      </c>
      <c r="T25" s="11" t="s">
        <v>302</v>
      </c>
      <c r="U25" s="10" t="str">
        <f t="shared" si="1"/>
        <v>SYS.GAUSSDBV5GaussDBV5FaultyDBNode</v>
      </c>
      <c r="V25" s="10" t="b">
        <f>ISNUMBER(MATCH(U25,#REF!,0))</f>
        <v>0</v>
      </c>
    </row>
    <row r="26" spans="1:22" ht="115" x14ac:dyDescent="0.25">
      <c r="A26" s="12">
        <v>72</v>
      </c>
      <c r="B26" s="12" t="s">
        <v>96</v>
      </c>
      <c r="C26" s="12" t="s">
        <v>97</v>
      </c>
      <c r="D26" s="13" t="s">
        <v>98</v>
      </c>
      <c r="E26" s="12" t="s">
        <v>1624</v>
      </c>
      <c r="F26" s="12" t="s">
        <v>1625</v>
      </c>
      <c r="G26" s="12" t="s">
        <v>1621</v>
      </c>
      <c r="H26" s="12" t="s">
        <v>1547</v>
      </c>
      <c r="I26" s="12" t="s">
        <v>571</v>
      </c>
      <c r="J26" s="4" t="s">
        <v>55</v>
      </c>
      <c r="K26" s="4" t="s">
        <v>1498</v>
      </c>
      <c r="L26" s="4" t="s">
        <v>1518</v>
      </c>
      <c r="M26" s="4" t="s">
        <v>1500</v>
      </c>
      <c r="N26" s="4"/>
      <c r="O26" s="4"/>
      <c r="P26" s="4"/>
      <c r="Q26" s="2"/>
      <c r="R26" s="2" t="s">
        <v>1499</v>
      </c>
      <c r="S26" s="2" t="str">
        <f t="shared" si="0"/>
        <v>否</v>
      </c>
      <c r="T26" s="11" t="s">
        <v>302</v>
      </c>
      <c r="U26" s="10" t="str">
        <f t="shared" si="1"/>
        <v>SYS.GAUSSDBV5GaussDBV5FaultyDBNodeRecovered</v>
      </c>
      <c r="V26" s="10" t="b">
        <f>ISNUMBER(MATCH(U26,#REF!,0))</f>
        <v>0</v>
      </c>
    </row>
    <row r="27" spans="1:22" ht="92" x14ac:dyDescent="0.25">
      <c r="A27" s="12">
        <v>75</v>
      </c>
      <c r="B27" s="12" t="s">
        <v>96</v>
      </c>
      <c r="C27" s="12" t="s">
        <v>97</v>
      </c>
      <c r="D27" s="13" t="s">
        <v>98</v>
      </c>
      <c r="E27" s="12" t="s">
        <v>1627</v>
      </c>
      <c r="F27" s="12" t="s">
        <v>1628</v>
      </c>
      <c r="G27" s="12" t="s">
        <v>1626</v>
      </c>
      <c r="H27" s="12" t="s">
        <v>1629</v>
      </c>
      <c r="I27" s="12" t="s">
        <v>1630</v>
      </c>
      <c r="J27" s="4" t="s">
        <v>55</v>
      </c>
      <c r="K27" s="4" t="s">
        <v>1498</v>
      </c>
      <c r="L27" s="4" t="s">
        <v>1499</v>
      </c>
      <c r="M27" s="4" t="s">
        <v>1500</v>
      </c>
      <c r="N27" s="4"/>
      <c r="O27" s="4"/>
      <c r="P27" s="4"/>
      <c r="Q27" s="2"/>
      <c r="R27" s="2" t="s">
        <v>1499</v>
      </c>
      <c r="S27" s="2" t="str">
        <f t="shared" si="0"/>
        <v/>
      </c>
      <c r="T27" s="11" t="s">
        <v>302</v>
      </c>
      <c r="U27" s="10" t="str">
        <f t="shared" si="1"/>
        <v>SYS.GAUSSDBV5GaussDBV5EnlargeVolumeFailed</v>
      </c>
      <c r="V27" s="10" t="b">
        <f>ISNUMBER(MATCH(U27,#REF!,0))</f>
        <v>0</v>
      </c>
    </row>
    <row r="28" spans="1:22" ht="69" x14ac:dyDescent="0.25">
      <c r="A28" s="12">
        <v>93</v>
      </c>
      <c r="B28" s="12" t="s">
        <v>1337</v>
      </c>
      <c r="C28" s="12" t="s">
        <v>1338</v>
      </c>
      <c r="D28" s="12" t="s">
        <v>1339</v>
      </c>
      <c r="E28" s="12" t="s">
        <v>1633</v>
      </c>
      <c r="F28" s="12" t="s">
        <v>1634</v>
      </c>
      <c r="G28" s="12" t="s">
        <v>1635</v>
      </c>
      <c r="H28" s="12" t="s">
        <v>1631</v>
      </c>
      <c r="I28" s="12" t="s">
        <v>1632</v>
      </c>
      <c r="J28" s="4" t="s">
        <v>55</v>
      </c>
      <c r="K28" s="4" t="s">
        <v>1498</v>
      </c>
      <c r="L28" s="4" t="s">
        <v>1499</v>
      </c>
      <c r="M28" s="4" t="s">
        <v>1500</v>
      </c>
      <c r="N28" s="4"/>
      <c r="O28" s="4"/>
      <c r="P28" s="4"/>
      <c r="Q28" s="2"/>
      <c r="R28" s="2" t="s">
        <v>1110</v>
      </c>
      <c r="S28" s="2" t="str">
        <f t="shared" si="0"/>
        <v>否</v>
      </c>
      <c r="T28" s="11"/>
      <c r="U28" s="10" t="str">
        <f t="shared" si="1"/>
        <v>SYS.DCSmasterStandbyFailover</v>
      </c>
      <c r="V28" s="10" t="b">
        <f>ISNUMBER(MATCH(U28,#REF!,0))</f>
        <v>0</v>
      </c>
    </row>
    <row r="29" spans="1:22" ht="69" x14ac:dyDescent="0.25">
      <c r="A29" s="12">
        <v>94</v>
      </c>
      <c r="B29" s="12" t="s">
        <v>1337</v>
      </c>
      <c r="C29" s="12" t="s">
        <v>1338</v>
      </c>
      <c r="D29" s="12" t="s">
        <v>1339</v>
      </c>
      <c r="E29" s="12" t="s">
        <v>1636</v>
      </c>
      <c r="F29" s="12" t="s">
        <v>1637</v>
      </c>
      <c r="G29" s="12" t="s">
        <v>1638</v>
      </c>
      <c r="H29" s="12" t="s">
        <v>1631</v>
      </c>
      <c r="I29" s="12" t="s">
        <v>1632</v>
      </c>
      <c r="J29" s="4" t="s">
        <v>55</v>
      </c>
      <c r="K29" s="4" t="s">
        <v>1498</v>
      </c>
      <c r="L29" s="4" t="s">
        <v>1518</v>
      </c>
      <c r="M29" s="4" t="s">
        <v>1500</v>
      </c>
      <c r="N29" s="4"/>
      <c r="O29" s="4"/>
      <c r="P29" s="4"/>
      <c r="Q29" s="2"/>
      <c r="R29" s="2" t="s">
        <v>1110</v>
      </c>
      <c r="S29" s="2" t="str">
        <f t="shared" si="0"/>
        <v>否</v>
      </c>
      <c r="T29" s="11"/>
      <c r="U29" s="10" t="str">
        <f t="shared" si="1"/>
        <v>SYS.DCSmemcachedMasterStandbyFailover</v>
      </c>
      <c r="V29" s="10" t="b">
        <f>ISNUMBER(MATCH(U29,#REF!,0))</f>
        <v>0</v>
      </c>
    </row>
    <row r="30" spans="1:22" ht="126.5" x14ac:dyDescent="0.25">
      <c r="A30" s="12">
        <v>95</v>
      </c>
      <c r="B30" s="12" t="s">
        <v>1337</v>
      </c>
      <c r="C30" s="12" t="s">
        <v>1338</v>
      </c>
      <c r="D30" s="12" t="s">
        <v>1339</v>
      </c>
      <c r="E30" s="12" t="s">
        <v>1639</v>
      </c>
      <c r="F30" s="12" t="s">
        <v>1640</v>
      </c>
      <c r="G30" s="12" t="s">
        <v>1641</v>
      </c>
      <c r="H30" s="12" t="s">
        <v>1642</v>
      </c>
      <c r="I30" s="12" t="s">
        <v>1643</v>
      </c>
      <c r="J30" s="4" t="s">
        <v>55</v>
      </c>
      <c r="K30" s="4" t="s">
        <v>1498</v>
      </c>
      <c r="L30" s="4" t="s">
        <v>1518</v>
      </c>
      <c r="M30" s="4" t="s">
        <v>1500</v>
      </c>
      <c r="N30" s="4"/>
      <c r="O30" s="4"/>
      <c r="P30" s="4"/>
      <c r="Q30" s="2"/>
      <c r="R30" s="2" t="s">
        <v>1110</v>
      </c>
      <c r="S30" s="2" t="str">
        <f t="shared" si="0"/>
        <v>否</v>
      </c>
      <c r="T30" s="11"/>
      <c r="U30" s="10" t="str">
        <f t="shared" si="1"/>
        <v>SYS.DCSredisNodeStatusAbnormal</v>
      </c>
      <c r="V30" s="10" t="b">
        <f>ISNUMBER(MATCH(U30,#REF!,0))</f>
        <v>0</v>
      </c>
    </row>
    <row r="31" spans="1:22" ht="69" x14ac:dyDescent="0.25">
      <c r="A31" s="12">
        <v>96</v>
      </c>
      <c r="B31" s="12" t="s">
        <v>1337</v>
      </c>
      <c r="C31" s="12" t="s">
        <v>1338</v>
      </c>
      <c r="D31" s="12" t="s">
        <v>1339</v>
      </c>
      <c r="E31" s="12" t="s">
        <v>1644</v>
      </c>
      <c r="F31" s="12" t="s">
        <v>1645</v>
      </c>
      <c r="G31" s="12" t="s">
        <v>1646</v>
      </c>
      <c r="H31" s="12" t="s">
        <v>1647</v>
      </c>
      <c r="I31" s="12" t="s">
        <v>1648</v>
      </c>
      <c r="J31" s="4" t="s">
        <v>55</v>
      </c>
      <c r="K31" s="4" t="s">
        <v>1498</v>
      </c>
      <c r="L31" s="4" t="s">
        <v>1525</v>
      </c>
      <c r="M31" s="4" t="s">
        <v>1500</v>
      </c>
      <c r="N31" s="4"/>
      <c r="O31" s="4"/>
      <c r="P31" s="4"/>
      <c r="Q31" s="2"/>
      <c r="R31" s="2" t="s">
        <v>1110</v>
      </c>
      <c r="S31" s="2" t="str">
        <f t="shared" si="0"/>
        <v>否</v>
      </c>
      <c r="T31" s="11"/>
      <c r="U31" s="10" t="str">
        <f t="shared" si="1"/>
        <v>SYS.DCSredisNodeStatusNormal</v>
      </c>
      <c r="V31" s="10" t="b">
        <f>ISNUMBER(MATCH(U31,#REF!,0))</f>
        <v>0</v>
      </c>
    </row>
    <row r="32" spans="1:22" ht="57.5" x14ac:dyDescent="0.25">
      <c r="A32" s="12">
        <v>98</v>
      </c>
      <c r="B32" s="12" t="s">
        <v>1337</v>
      </c>
      <c r="C32" s="12" t="s">
        <v>1338</v>
      </c>
      <c r="D32" s="12" t="s">
        <v>1339</v>
      </c>
      <c r="E32" s="12" t="s">
        <v>1649</v>
      </c>
      <c r="F32" s="12" t="s">
        <v>1650</v>
      </c>
      <c r="G32" s="12" t="s">
        <v>1651</v>
      </c>
      <c r="H32" s="12" t="s">
        <v>1642</v>
      </c>
      <c r="I32" s="12" t="s">
        <v>1652</v>
      </c>
      <c r="J32" s="4" t="s">
        <v>55</v>
      </c>
      <c r="K32" s="4" t="s">
        <v>1498</v>
      </c>
      <c r="L32" s="4" t="s">
        <v>1518</v>
      </c>
      <c r="M32" s="4" t="s">
        <v>1500</v>
      </c>
      <c r="N32" s="4"/>
      <c r="O32" s="4"/>
      <c r="P32" s="4"/>
      <c r="Q32" s="2"/>
      <c r="R32" s="2" t="s">
        <v>1110</v>
      </c>
      <c r="S32" s="2" t="str">
        <f t="shared" si="0"/>
        <v>否</v>
      </c>
      <c r="T32" s="11"/>
      <c r="U32" s="10" t="str">
        <f t="shared" si="1"/>
        <v>SYS.DCSmemcachedInstanceStatusAbnormal</v>
      </c>
      <c r="V32" s="10" t="b">
        <f>ISNUMBER(MATCH(U32,#REF!,0))</f>
        <v>0</v>
      </c>
    </row>
    <row r="33" spans="1:22" ht="69" x14ac:dyDescent="0.25">
      <c r="A33" s="12">
        <v>99</v>
      </c>
      <c r="B33" s="12" t="s">
        <v>1337</v>
      </c>
      <c r="C33" s="12" t="s">
        <v>1338</v>
      </c>
      <c r="D33" s="12" t="s">
        <v>1339</v>
      </c>
      <c r="E33" s="12" t="s">
        <v>1653</v>
      </c>
      <c r="F33" s="12" t="s">
        <v>1654</v>
      </c>
      <c r="G33" s="12" t="s">
        <v>1655</v>
      </c>
      <c r="H33" s="12" t="s">
        <v>1647</v>
      </c>
      <c r="I33" s="12" t="s">
        <v>1648</v>
      </c>
      <c r="J33" s="4" t="s">
        <v>55</v>
      </c>
      <c r="K33" s="4" t="s">
        <v>1498</v>
      </c>
      <c r="L33" s="4" t="s">
        <v>1518</v>
      </c>
      <c r="M33" s="4" t="s">
        <v>1500</v>
      </c>
      <c r="N33" s="4"/>
      <c r="O33" s="4"/>
      <c r="P33" s="4"/>
      <c r="Q33" s="2"/>
      <c r="R33" s="2" t="s">
        <v>1110</v>
      </c>
      <c r="S33" s="2" t="str">
        <f t="shared" si="0"/>
        <v>否</v>
      </c>
      <c r="T33" s="11"/>
      <c r="U33" s="10" t="str">
        <f t="shared" si="1"/>
        <v>SYS.DCSmemcachedInstanceStatusNormal</v>
      </c>
      <c r="V33" s="10" t="b">
        <f>ISNUMBER(MATCH(U33,#REF!,0))</f>
        <v>0</v>
      </c>
    </row>
    <row r="34" spans="1:22" ht="69" x14ac:dyDescent="0.25">
      <c r="A34" s="12">
        <v>100</v>
      </c>
      <c r="B34" s="12" t="s">
        <v>1337</v>
      </c>
      <c r="C34" s="12" t="s">
        <v>1338</v>
      </c>
      <c r="D34" s="12" t="s">
        <v>1339</v>
      </c>
      <c r="E34" s="12" t="s">
        <v>1656</v>
      </c>
      <c r="F34" s="12" t="s">
        <v>1657</v>
      </c>
      <c r="G34" s="12" t="s">
        <v>1658</v>
      </c>
      <c r="H34" s="12" t="s">
        <v>1659</v>
      </c>
      <c r="I34" s="12" t="s">
        <v>1660</v>
      </c>
      <c r="J34" s="4" t="s">
        <v>55</v>
      </c>
      <c r="K34" s="4" t="s">
        <v>1498</v>
      </c>
      <c r="L34" s="4" t="s">
        <v>1661</v>
      </c>
      <c r="M34" s="4" t="s">
        <v>1500</v>
      </c>
      <c r="N34" s="4"/>
      <c r="O34" s="4"/>
      <c r="P34" s="4"/>
      <c r="Q34" s="2"/>
      <c r="R34" s="2" t="s">
        <v>1110</v>
      </c>
      <c r="S34" s="2" t="str">
        <f t="shared" si="0"/>
        <v>否</v>
      </c>
      <c r="T34" s="11"/>
      <c r="U34" s="10" t="str">
        <f t="shared" si="1"/>
        <v>SYS.DCSinstanceBackupFailure</v>
      </c>
      <c r="V34" s="10" t="b">
        <f>ISNUMBER(MATCH(U34,#REF!,0))</f>
        <v>0</v>
      </c>
    </row>
    <row r="35" spans="1:22" ht="138" x14ac:dyDescent="0.25">
      <c r="A35" s="12">
        <v>130</v>
      </c>
      <c r="B35" s="13" t="s">
        <v>338</v>
      </c>
      <c r="C35" s="12" t="s">
        <v>339</v>
      </c>
      <c r="D35" s="13" t="s">
        <v>340</v>
      </c>
      <c r="E35" s="12" t="s">
        <v>1673</v>
      </c>
      <c r="F35" s="12" t="s">
        <v>1674</v>
      </c>
      <c r="G35" s="12" t="s">
        <v>1675</v>
      </c>
      <c r="H35" s="12" t="s">
        <v>1542</v>
      </c>
      <c r="I35" s="12" t="s">
        <v>1676</v>
      </c>
      <c r="J35" s="4" t="s">
        <v>55</v>
      </c>
      <c r="K35" s="4" t="s">
        <v>1498</v>
      </c>
      <c r="L35" s="4" t="s">
        <v>1499</v>
      </c>
      <c r="M35" s="4" t="s">
        <v>1500</v>
      </c>
      <c r="N35" s="4"/>
      <c r="O35" s="4"/>
      <c r="P35" s="4"/>
      <c r="Q35" s="2"/>
      <c r="R35" s="2" t="s">
        <v>1110</v>
      </c>
      <c r="S35" s="2" t="str">
        <f t="shared" si="0"/>
        <v>否</v>
      </c>
      <c r="T35" s="11"/>
      <c r="U35" s="10" t="str">
        <f t="shared" si="1"/>
        <v>SYS.GAUSSDBactiveStandBySwitchFailed</v>
      </c>
      <c r="V35" s="10" t="b">
        <f>ISNUMBER(MATCH(U35,#REF!,0))</f>
        <v>0</v>
      </c>
    </row>
    <row r="36" spans="1:22" ht="80.5" x14ac:dyDescent="0.25">
      <c r="A36" s="12">
        <v>131</v>
      </c>
      <c r="B36" s="13" t="s">
        <v>338</v>
      </c>
      <c r="C36" s="12" t="s">
        <v>339</v>
      </c>
      <c r="D36" s="13" t="s">
        <v>340</v>
      </c>
      <c r="E36" s="12" t="s">
        <v>1677</v>
      </c>
      <c r="F36" s="12" t="s">
        <v>1678</v>
      </c>
      <c r="G36" s="12" t="s">
        <v>1679</v>
      </c>
      <c r="H36" s="12" t="s">
        <v>1542</v>
      </c>
      <c r="I36" s="12" t="s">
        <v>1680</v>
      </c>
      <c r="J36" s="4" t="s">
        <v>55</v>
      </c>
      <c r="K36" s="4" t="s">
        <v>1498</v>
      </c>
      <c r="L36" s="4" t="s">
        <v>1499</v>
      </c>
      <c r="M36" s="4" t="s">
        <v>1500</v>
      </c>
      <c r="N36" s="4"/>
      <c r="O36" s="4"/>
      <c r="P36" s="4"/>
      <c r="Q36" s="2"/>
      <c r="R36" s="2" t="s">
        <v>1110</v>
      </c>
      <c r="S36" s="2" t="str">
        <f t="shared" si="0"/>
        <v>否</v>
      </c>
      <c r="T36" s="11"/>
      <c r="U36" s="10" t="str">
        <f t="shared" si="1"/>
        <v>SYS.GAUSSDBflavorAlterationFailed</v>
      </c>
      <c r="V36" s="10" t="b">
        <f>ISNUMBER(MATCH(U36,#REF!,0))</f>
        <v>0</v>
      </c>
    </row>
    <row r="37" spans="1:22" ht="103.5" x14ac:dyDescent="0.25">
      <c r="A37" s="12">
        <v>132</v>
      </c>
      <c r="B37" s="13" t="s">
        <v>338</v>
      </c>
      <c r="C37" s="12" t="s">
        <v>339</v>
      </c>
      <c r="D37" s="13" t="s">
        <v>340</v>
      </c>
      <c r="E37" s="12" t="s">
        <v>1548</v>
      </c>
      <c r="F37" s="12" t="s">
        <v>1681</v>
      </c>
      <c r="G37" s="12" t="s">
        <v>1682</v>
      </c>
      <c r="H37" s="12" t="s">
        <v>1542</v>
      </c>
      <c r="I37" s="12" t="s">
        <v>1683</v>
      </c>
      <c r="J37" s="4" t="s">
        <v>55</v>
      </c>
      <c r="K37" s="4" t="s">
        <v>1498</v>
      </c>
      <c r="L37" s="4" t="s">
        <v>1499</v>
      </c>
      <c r="M37" s="4" t="s">
        <v>1500</v>
      </c>
      <c r="N37" s="4"/>
      <c r="O37" s="4"/>
      <c r="P37" s="4"/>
      <c r="Q37" s="2"/>
      <c r="R37" s="2" t="s">
        <v>1110</v>
      </c>
      <c r="S37" s="2" t="str">
        <f t="shared" si="0"/>
        <v>否</v>
      </c>
      <c r="T37" s="11"/>
      <c r="U37" s="10" t="str">
        <f t="shared" si="1"/>
        <v>SYS.GAUSSDBTaurusInstanceRunningStatusAbnormal</v>
      </c>
      <c r="V37" s="10" t="b">
        <f>ISNUMBER(MATCH(U37,#REF!,0))</f>
        <v>0</v>
      </c>
    </row>
    <row r="38" spans="1:22" ht="46" x14ac:dyDescent="0.25">
      <c r="A38" s="12">
        <v>133</v>
      </c>
      <c r="B38" s="13" t="s">
        <v>338</v>
      </c>
      <c r="C38" s="12" t="s">
        <v>339</v>
      </c>
      <c r="D38" s="13" t="s">
        <v>340</v>
      </c>
      <c r="E38" s="12" t="s">
        <v>1553</v>
      </c>
      <c r="F38" s="12" t="s">
        <v>1684</v>
      </c>
      <c r="G38" s="12" t="s">
        <v>1685</v>
      </c>
      <c r="H38" s="12" t="s">
        <v>1686</v>
      </c>
      <c r="I38" s="12" t="s">
        <v>1599</v>
      </c>
      <c r="J38" s="4" t="s">
        <v>55</v>
      </c>
      <c r="K38" s="4" t="s">
        <v>1498</v>
      </c>
      <c r="L38" s="4" t="s">
        <v>1518</v>
      </c>
      <c r="M38" s="4" t="s">
        <v>1500</v>
      </c>
      <c r="N38" s="4"/>
      <c r="O38" s="4"/>
      <c r="P38" s="4"/>
      <c r="Q38" s="2"/>
      <c r="R38" s="2" t="s">
        <v>1110</v>
      </c>
      <c r="S38" s="2" t="str">
        <f t="shared" si="0"/>
        <v>否</v>
      </c>
      <c r="T38" s="11"/>
      <c r="U38" s="10" t="str">
        <f t="shared" si="1"/>
        <v>SYS.GAUSSDBTaurusInstanceRunningStatusRecovered</v>
      </c>
      <c r="V38" s="10" t="b">
        <f>ISNUMBER(MATCH(U38,#REF!,0))</f>
        <v>0</v>
      </c>
    </row>
    <row r="39" spans="1:22" ht="103.5" x14ac:dyDescent="0.25">
      <c r="A39" s="12">
        <v>134</v>
      </c>
      <c r="B39" s="13" t="s">
        <v>338</v>
      </c>
      <c r="C39" s="12" t="s">
        <v>339</v>
      </c>
      <c r="D39" s="13" t="s">
        <v>340</v>
      </c>
      <c r="E39" s="12" t="s">
        <v>1556</v>
      </c>
      <c r="F39" s="12" t="s">
        <v>1687</v>
      </c>
      <c r="G39" s="12" t="s">
        <v>1688</v>
      </c>
      <c r="H39" s="12" t="s">
        <v>1689</v>
      </c>
      <c r="I39" s="12" t="s">
        <v>1690</v>
      </c>
      <c r="J39" s="4" t="s">
        <v>55</v>
      </c>
      <c r="K39" s="4" t="s">
        <v>1498</v>
      </c>
      <c r="L39" s="4" t="s">
        <v>1499</v>
      </c>
      <c r="M39" s="4" t="s">
        <v>1500</v>
      </c>
      <c r="N39" s="4"/>
      <c r="O39" s="4"/>
      <c r="P39" s="4"/>
      <c r="Q39" s="2"/>
      <c r="R39" s="2" t="s">
        <v>1110</v>
      </c>
      <c r="S39" s="2" t="str">
        <f t="shared" si="0"/>
        <v>否</v>
      </c>
      <c r="T39" s="11"/>
      <c r="U39" s="10" t="str">
        <f t="shared" si="1"/>
        <v>SYS.GAUSSDBTaurusNodeRunningStatusAbnormal</v>
      </c>
      <c r="V39" s="10" t="b">
        <f>ISNUMBER(MATCH(U39,#REF!,0))</f>
        <v>0</v>
      </c>
    </row>
    <row r="40" spans="1:22" ht="46" x14ac:dyDescent="0.25">
      <c r="A40" s="12">
        <v>135</v>
      </c>
      <c r="B40" s="13" t="s">
        <v>338</v>
      </c>
      <c r="C40" s="12" t="s">
        <v>339</v>
      </c>
      <c r="D40" s="13" t="s">
        <v>340</v>
      </c>
      <c r="E40" s="12" t="s">
        <v>1624</v>
      </c>
      <c r="F40" s="12" t="s">
        <v>1691</v>
      </c>
      <c r="G40" s="12" t="s">
        <v>1692</v>
      </c>
      <c r="H40" s="12" t="s">
        <v>1693</v>
      </c>
      <c r="I40" s="12" t="s">
        <v>1599</v>
      </c>
      <c r="J40" s="4" t="s">
        <v>55</v>
      </c>
      <c r="K40" s="4" t="s">
        <v>1498</v>
      </c>
      <c r="L40" s="4" t="s">
        <v>1518</v>
      </c>
      <c r="M40" s="4" t="s">
        <v>1500</v>
      </c>
      <c r="N40" s="4"/>
      <c r="O40" s="4"/>
      <c r="P40" s="4"/>
      <c r="Q40" s="2"/>
      <c r="R40" s="2" t="s">
        <v>1110</v>
      </c>
      <c r="S40" s="2" t="str">
        <f t="shared" si="0"/>
        <v>否</v>
      </c>
      <c r="T40" s="11"/>
      <c r="U40" s="10" t="str">
        <f t="shared" si="1"/>
        <v>SYS.GAUSSDBTaurusNodeRunningStatusRecovered</v>
      </c>
      <c r="V40" s="10" t="b">
        <f>ISNUMBER(MATCH(U40,#REF!,0))</f>
        <v>0</v>
      </c>
    </row>
    <row r="41" spans="1:22" ht="57.5" x14ac:dyDescent="0.25">
      <c r="A41" s="12">
        <v>145</v>
      </c>
      <c r="B41" s="13" t="s">
        <v>338</v>
      </c>
      <c r="C41" s="12" t="s">
        <v>339</v>
      </c>
      <c r="D41" s="13" t="s">
        <v>340</v>
      </c>
      <c r="E41" s="12" t="s">
        <v>1694</v>
      </c>
      <c r="F41" s="12" t="s">
        <v>1695</v>
      </c>
      <c r="G41" s="12" t="s">
        <v>1696</v>
      </c>
      <c r="H41" s="12" t="s">
        <v>1697</v>
      </c>
      <c r="I41" s="12" t="s">
        <v>1698</v>
      </c>
      <c r="J41" s="4" t="s">
        <v>55</v>
      </c>
      <c r="K41" s="4" t="s">
        <v>1498</v>
      </c>
      <c r="L41" s="4" t="s">
        <v>1499</v>
      </c>
      <c r="M41" s="4" t="s">
        <v>1500</v>
      </c>
      <c r="N41" s="4"/>
      <c r="O41" s="4"/>
      <c r="P41" s="4"/>
      <c r="Q41" s="2"/>
      <c r="R41" s="2" t="s">
        <v>1110</v>
      </c>
      <c r="S41" s="2" t="str">
        <f t="shared" si="0"/>
        <v>否</v>
      </c>
      <c r="T41" s="11"/>
      <c r="U41" s="10" t="str">
        <f t="shared" si="1"/>
        <v>SYS.GAUSSDBTaurusActiveStandbySwitched</v>
      </c>
      <c r="V41" s="10" t="b">
        <f>ISNUMBER(MATCH(U41,#REF!,0))</f>
        <v>0</v>
      </c>
    </row>
    <row r="42" spans="1:22" ht="23" x14ac:dyDescent="0.25">
      <c r="A42" s="12">
        <v>157</v>
      </c>
      <c r="B42" s="12" t="s">
        <v>179</v>
      </c>
      <c r="C42" s="12" t="s">
        <v>180</v>
      </c>
      <c r="D42" s="13" t="s">
        <v>181</v>
      </c>
      <c r="E42" s="12" t="s">
        <v>1699</v>
      </c>
      <c r="F42" s="12" t="s">
        <v>1700</v>
      </c>
      <c r="G42" s="12" t="s">
        <v>1110</v>
      </c>
      <c r="H42" s="12" t="s">
        <v>1110</v>
      </c>
      <c r="I42" s="12" t="s">
        <v>1701</v>
      </c>
      <c r="J42" s="4" t="s">
        <v>55</v>
      </c>
      <c r="K42" s="4" t="s">
        <v>1498</v>
      </c>
      <c r="L42" s="4" t="s">
        <v>1499</v>
      </c>
      <c r="M42" s="4" t="s">
        <v>1500</v>
      </c>
      <c r="N42" s="4"/>
      <c r="O42" s="4"/>
      <c r="P42" s="4"/>
      <c r="Q42" s="2"/>
      <c r="R42" s="2" t="s">
        <v>1110</v>
      </c>
      <c r="S42" s="2" t="str">
        <f t="shared" si="0"/>
        <v>否</v>
      </c>
      <c r="T42" s="11"/>
      <c r="U42" s="10" t="str">
        <f t="shared" si="1"/>
        <v>SYS.NoSQLNodeHaSwitch</v>
      </c>
      <c r="V42" s="10" t="b">
        <f>ISNUMBER(MATCH(U42,#REF!,0))</f>
        <v>0</v>
      </c>
    </row>
    <row r="43" spans="1:22" ht="34.5" x14ac:dyDescent="0.25">
      <c r="A43" s="12">
        <v>158</v>
      </c>
      <c r="B43" s="12" t="s">
        <v>179</v>
      </c>
      <c r="C43" s="12" t="s">
        <v>180</v>
      </c>
      <c r="D43" s="13" t="s">
        <v>181</v>
      </c>
      <c r="E43" s="12" t="s">
        <v>1702</v>
      </c>
      <c r="F43" s="12" t="s">
        <v>1703</v>
      </c>
      <c r="G43" s="12" t="s">
        <v>1110</v>
      </c>
      <c r="H43" s="12" t="s">
        <v>1110</v>
      </c>
      <c r="I43" s="12" t="s">
        <v>1704</v>
      </c>
      <c r="J43" s="4" t="s">
        <v>55</v>
      </c>
      <c r="K43" s="4" t="s">
        <v>1498</v>
      </c>
      <c r="L43" s="4" t="s">
        <v>1499</v>
      </c>
      <c r="M43" s="4" t="s">
        <v>1500</v>
      </c>
      <c r="N43" s="4"/>
      <c r="O43" s="4"/>
      <c r="P43" s="4"/>
      <c r="Q43" s="2"/>
      <c r="R43" s="2" t="s">
        <v>1110</v>
      </c>
      <c r="S43" s="2" t="str">
        <f t="shared" si="0"/>
        <v>否</v>
      </c>
      <c r="T43" s="11"/>
      <c r="U43" s="10" t="str">
        <f t="shared" si="1"/>
        <v>SYS.NoSQLInfluxDBConnectionFull</v>
      </c>
      <c r="V43" s="10" t="b">
        <f>ISNUMBER(MATCH(U43,#REF!,0))</f>
        <v>0</v>
      </c>
    </row>
    <row r="44" spans="1:22" ht="126.5" x14ac:dyDescent="0.25">
      <c r="A44" s="12">
        <v>160</v>
      </c>
      <c r="B44" s="12" t="s">
        <v>179</v>
      </c>
      <c r="C44" s="12" t="s">
        <v>180</v>
      </c>
      <c r="D44" s="13" t="s">
        <v>181</v>
      </c>
      <c r="E44" s="12" t="s">
        <v>1705</v>
      </c>
      <c r="F44" s="12" t="s">
        <v>1706</v>
      </c>
      <c r="G44" s="12" t="s">
        <v>1707</v>
      </c>
      <c r="H44" s="12" t="s">
        <v>1708</v>
      </c>
      <c r="I44" s="12" t="s">
        <v>1709</v>
      </c>
      <c r="J44" s="4" t="s">
        <v>55</v>
      </c>
      <c r="K44" s="4" t="s">
        <v>1498</v>
      </c>
      <c r="L44" s="4" t="s">
        <v>1518</v>
      </c>
      <c r="M44" s="4" t="s">
        <v>1500</v>
      </c>
      <c r="N44" s="4"/>
      <c r="O44" s="4"/>
      <c r="P44" s="4"/>
      <c r="Q44" s="2"/>
      <c r="R44" s="2" t="s">
        <v>1110</v>
      </c>
      <c r="S44" s="2" t="str">
        <f t="shared" si="0"/>
        <v>否</v>
      </c>
      <c r="T44" s="11"/>
      <c r="U44" s="10" t="str">
        <f t="shared" si="1"/>
        <v>SYS.NoSQLTooLargeCollectionColumn</v>
      </c>
      <c r="V44" s="10" t="b">
        <f>ISNUMBER(MATCH(U44,#REF!,0))</f>
        <v>0</v>
      </c>
    </row>
    <row r="45" spans="1:22" ht="57.5" x14ac:dyDescent="0.25">
      <c r="A45" s="12">
        <v>161</v>
      </c>
      <c r="B45" s="12" t="s">
        <v>179</v>
      </c>
      <c r="C45" s="12" t="s">
        <v>180</v>
      </c>
      <c r="D45" s="13" t="s">
        <v>181</v>
      </c>
      <c r="E45" s="12" t="s">
        <v>1710</v>
      </c>
      <c r="F45" s="12" t="s">
        <v>1711</v>
      </c>
      <c r="G45" s="12" t="s">
        <v>1712</v>
      </c>
      <c r="H45" s="12" t="s">
        <v>1713</v>
      </c>
      <c r="I45" s="12" t="s">
        <v>1714</v>
      </c>
      <c r="J45" s="4" t="s">
        <v>55</v>
      </c>
      <c r="K45" s="4" t="s">
        <v>1498</v>
      </c>
      <c r="L45" s="4" t="s">
        <v>1518</v>
      </c>
      <c r="M45" s="4" t="s">
        <v>1500</v>
      </c>
      <c r="N45" s="14"/>
      <c r="O45" s="14"/>
      <c r="P45" s="14"/>
      <c r="Q45" s="2"/>
      <c r="R45" s="2" t="s">
        <v>1110</v>
      </c>
      <c r="S45" s="2" t="str">
        <f t="shared" si="0"/>
        <v>否</v>
      </c>
      <c r="T45" s="11"/>
      <c r="U45" s="10" t="str">
        <f t="shared" si="1"/>
        <v>SYS.NoSQLTooManyQueryTombstones</v>
      </c>
      <c r="V45" s="10" t="b">
        <f>ISNUMBER(MATCH(U45,#REF!,0))</f>
        <v>0</v>
      </c>
    </row>
    <row r="46" spans="1:22" ht="69" x14ac:dyDescent="0.25">
      <c r="A46" s="12">
        <v>163</v>
      </c>
      <c r="B46" s="12" t="s">
        <v>179</v>
      </c>
      <c r="C46" s="12" t="s">
        <v>180</v>
      </c>
      <c r="D46" s="13" t="s">
        <v>181</v>
      </c>
      <c r="E46" s="12" t="s">
        <v>1529</v>
      </c>
      <c r="F46" s="12" t="s">
        <v>1715</v>
      </c>
      <c r="G46" s="12" t="s">
        <v>1531</v>
      </c>
      <c r="H46" s="12" t="s">
        <v>1716</v>
      </c>
      <c r="I46" s="12" t="s">
        <v>1533</v>
      </c>
      <c r="J46" s="4" t="s">
        <v>55</v>
      </c>
      <c r="K46" s="4" t="s">
        <v>1498</v>
      </c>
      <c r="L46" s="4" t="s">
        <v>1499</v>
      </c>
      <c r="M46" s="4" t="s">
        <v>1500</v>
      </c>
      <c r="N46" s="4"/>
      <c r="O46" s="4"/>
      <c r="P46" s="4"/>
      <c r="Q46" s="2"/>
      <c r="R46" s="2" t="s">
        <v>1110</v>
      </c>
      <c r="S46" s="2" t="str">
        <f t="shared" si="0"/>
        <v>否</v>
      </c>
      <c r="T46" s="11"/>
      <c r="U46" s="10" t="str">
        <f t="shared" si="1"/>
        <v>SYS.NoSQLNoSQLRiskyDataDiskUsage</v>
      </c>
      <c r="V46" s="10" t="b">
        <f>ISNUMBER(MATCH(U46,#REF!,0))</f>
        <v>0</v>
      </c>
    </row>
    <row r="47" spans="1:22" ht="46" x14ac:dyDescent="0.25">
      <c r="A47" s="12">
        <v>164</v>
      </c>
      <c r="B47" s="12" t="s">
        <v>179</v>
      </c>
      <c r="C47" s="12" t="s">
        <v>180</v>
      </c>
      <c r="D47" s="13" t="s">
        <v>181</v>
      </c>
      <c r="E47" s="12" t="s">
        <v>1534</v>
      </c>
      <c r="F47" s="12" t="s">
        <v>1717</v>
      </c>
      <c r="G47" s="12" t="s">
        <v>1536</v>
      </c>
      <c r="H47" s="12" t="s">
        <v>1537</v>
      </c>
      <c r="I47" s="12" t="s">
        <v>571</v>
      </c>
      <c r="J47" s="4" t="s">
        <v>55</v>
      </c>
      <c r="K47" s="4" t="s">
        <v>1498</v>
      </c>
      <c r="L47" s="4" t="s">
        <v>1518</v>
      </c>
      <c r="M47" s="4" t="s">
        <v>1500</v>
      </c>
      <c r="N47" s="14"/>
      <c r="O47" s="14"/>
      <c r="P47" s="14"/>
      <c r="Q47" s="2"/>
      <c r="R47" s="2" t="s">
        <v>1110</v>
      </c>
      <c r="S47" s="2" t="str">
        <f t="shared" si="0"/>
        <v>否</v>
      </c>
      <c r="T47" s="11"/>
      <c r="U47" s="10" t="str">
        <f t="shared" si="1"/>
        <v>SYS.NoSQLNoSQLDataDiskUsageRecovered</v>
      </c>
      <c r="V47" s="10" t="b">
        <f>ISNUMBER(MATCH(U47,#REF!,0))</f>
        <v>0</v>
      </c>
    </row>
    <row r="48" spans="1:22" ht="92" x14ac:dyDescent="0.25">
      <c r="A48" s="12">
        <v>165</v>
      </c>
      <c r="B48" s="12" t="s">
        <v>179</v>
      </c>
      <c r="C48" s="12" t="s">
        <v>180</v>
      </c>
      <c r="D48" s="13" t="s">
        <v>181</v>
      </c>
      <c r="E48" s="12" t="s">
        <v>1548</v>
      </c>
      <c r="F48" s="12" t="s">
        <v>1718</v>
      </c>
      <c r="G48" s="12" t="s">
        <v>1550</v>
      </c>
      <c r="H48" s="12" t="s">
        <v>1719</v>
      </c>
      <c r="I48" s="12" t="s">
        <v>1552</v>
      </c>
      <c r="J48" s="4" t="s">
        <v>55</v>
      </c>
      <c r="K48" s="4" t="s">
        <v>1498</v>
      </c>
      <c r="L48" s="4" t="s">
        <v>1499</v>
      </c>
      <c r="M48" s="4" t="s">
        <v>1500</v>
      </c>
      <c r="N48" s="4"/>
      <c r="O48" s="4"/>
      <c r="P48" s="4"/>
      <c r="Q48" s="2"/>
      <c r="R48" s="2" t="s">
        <v>1110</v>
      </c>
      <c r="S48" s="2" t="str">
        <f t="shared" si="0"/>
        <v>否</v>
      </c>
      <c r="T48" s="11"/>
      <c r="U48" s="10" t="str">
        <f t="shared" si="1"/>
        <v>SYS.NoSQLNoSQLFaultyDBInstance</v>
      </c>
      <c r="V48" s="10" t="b">
        <f>ISNUMBER(MATCH(U48,#REF!,0))</f>
        <v>0</v>
      </c>
    </row>
    <row r="49" spans="1:22" ht="103.5" x14ac:dyDescent="0.25">
      <c r="A49" s="12">
        <v>166</v>
      </c>
      <c r="B49" s="12" t="s">
        <v>179</v>
      </c>
      <c r="C49" s="12" t="s">
        <v>180</v>
      </c>
      <c r="D49" s="13" t="s">
        <v>181</v>
      </c>
      <c r="E49" s="12" t="s">
        <v>1553</v>
      </c>
      <c r="F49" s="12" t="s">
        <v>1720</v>
      </c>
      <c r="G49" s="12" t="s">
        <v>1721</v>
      </c>
      <c r="H49" s="12" t="s">
        <v>1547</v>
      </c>
      <c r="I49" s="12" t="s">
        <v>571</v>
      </c>
      <c r="J49" s="4" t="s">
        <v>55</v>
      </c>
      <c r="K49" s="4" t="s">
        <v>1498</v>
      </c>
      <c r="L49" s="4" t="s">
        <v>1518</v>
      </c>
      <c r="M49" s="4" t="s">
        <v>1500</v>
      </c>
      <c r="N49" s="14"/>
      <c r="O49" s="14"/>
      <c r="P49" s="14"/>
      <c r="Q49" s="2"/>
      <c r="R49" s="2" t="s">
        <v>1110</v>
      </c>
      <c r="S49" s="2" t="str">
        <f t="shared" si="0"/>
        <v>否</v>
      </c>
      <c r="T49" s="11"/>
      <c r="U49" s="10" t="str">
        <f t="shared" si="1"/>
        <v>SYS.NoSQLNoSQLDBInstanceRecovered</v>
      </c>
      <c r="V49" s="10" t="b">
        <f>ISNUMBER(MATCH(U49,#REF!,0))</f>
        <v>0</v>
      </c>
    </row>
    <row r="50" spans="1:22" ht="115" x14ac:dyDescent="0.25">
      <c r="A50" s="12">
        <v>167</v>
      </c>
      <c r="B50" s="12" t="s">
        <v>179</v>
      </c>
      <c r="C50" s="12" t="s">
        <v>180</v>
      </c>
      <c r="D50" s="13" t="s">
        <v>181</v>
      </c>
      <c r="E50" s="12" t="s">
        <v>1556</v>
      </c>
      <c r="F50" s="12" t="s">
        <v>1722</v>
      </c>
      <c r="G50" s="12" t="s">
        <v>1558</v>
      </c>
      <c r="H50" s="12" t="s">
        <v>1723</v>
      </c>
      <c r="I50" s="12" t="s">
        <v>1552</v>
      </c>
      <c r="J50" s="4" t="s">
        <v>55</v>
      </c>
      <c r="K50" s="4" t="s">
        <v>1498</v>
      </c>
      <c r="L50" s="4" t="s">
        <v>1499</v>
      </c>
      <c r="M50" s="4" t="s">
        <v>1500</v>
      </c>
      <c r="N50" s="4"/>
      <c r="O50" s="4"/>
      <c r="P50" s="4"/>
      <c r="Q50" s="2"/>
      <c r="R50" s="2" t="s">
        <v>1110</v>
      </c>
      <c r="S50" s="2" t="str">
        <f t="shared" si="0"/>
        <v>否</v>
      </c>
      <c r="T50" s="11"/>
      <c r="U50" s="10" t="str">
        <f t="shared" si="1"/>
        <v>SYS.NoSQLNoSQLFaultyDBNode</v>
      </c>
      <c r="V50" s="10" t="b">
        <f>ISNUMBER(MATCH(U50,#REF!,0))</f>
        <v>0</v>
      </c>
    </row>
    <row r="51" spans="1:22" ht="103.5" x14ac:dyDescent="0.25">
      <c r="A51" s="12">
        <v>168</v>
      </c>
      <c r="B51" s="12" t="s">
        <v>179</v>
      </c>
      <c r="C51" s="12" t="s">
        <v>180</v>
      </c>
      <c r="D51" s="13" t="s">
        <v>181</v>
      </c>
      <c r="E51" s="12" t="s">
        <v>1559</v>
      </c>
      <c r="F51" s="12" t="s">
        <v>1724</v>
      </c>
      <c r="G51" s="12" t="s">
        <v>1721</v>
      </c>
      <c r="H51" s="12" t="s">
        <v>1547</v>
      </c>
      <c r="I51" s="12" t="s">
        <v>571</v>
      </c>
      <c r="J51" s="4" t="s">
        <v>55</v>
      </c>
      <c r="K51" s="4" t="s">
        <v>1498</v>
      </c>
      <c r="L51" s="4" t="s">
        <v>1518</v>
      </c>
      <c r="M51" s="4" t="s">
        <v>1500</v>
      </c>
      <c r="N51" s="14"/>
      <c r="O51" s="14"/>
      <c r="P51" s="14"/>
      <c r="Q51" s="2"/>
      <c r="R51" s="2" t="s">
        <v>1110</v>
      </c>
      <c r="S51" s="2" t="str">
        <f t="shared" si="0"/>
        <v>否</v>
      </c>
      <c r="T51" s="11"/>
      <c r="U51" s="10" t="str">
        <f t="shared" si="1"/>
        <v>SYS.NoSQLNoSQLDBNodeRecovered</v>
      </c>
      <c r="V51" s="10" t="b">
        <f>ISNUMBER(MATCH(U51,#REF!,0))</f>
        <v>0</v>
      </c>
    </row>
    <row r="52" spans="1:22" ht="80.5" x14ac:dyDescent="0.25">
      <c r="A52" s="12">
        <v>169</v>
      </c>
      <c r="B52" s="12" t="s">
        <v>179</v>
      </c>
      <c r="C52" s="12" t="s">
        <v>180</v>
      </c>
      <c r="D52" s="13" t="s">
        <v>181</v>
      </c>
      <c r="E52" s="12" t="s">
        <v>1561</v>
      </c>
      <c r="F52" s="12" t="s">
        <v>1725</v>
      </c>
      <c r="G52" s="12" t="s">
        <v>1563</v>
      </c>
      <c r="H52" s="12" t="s">
        <v>1547</v>
      </c>
      <c r="I52" s="12" t="s">
        <v>571</v>
      </c>
      <c r="J52" s="4" t="s">
        <v>55</v>
      </c>
      <c r="K52" s="4" t="s">
        <v>1498</v>
      </c>
      <c r="L52" s="4" t="s">
        <v>1499</v>
      </c>
      <c r="M52" s="4" t="s">
        <v>1500</v>
      </c>
      <c r="N52" s="4"/>
      <c r="O52" s="4"/>
      <c r="P52" s="4"/>
      <c r="Q52" s="2"/>
      <c r="R52" s="2" t="s">
        <v>1110</v>
      </c>
      <c r="S52" s="2" t="str">
        <f t="shared" si="0"/>
        <v>否</v>
      </c>
      <c r="T52" s="11"/>
      <c r="U52" s="10" t="str">
        <f t="shared" si="1"/>
        <v>SYS.NoSQLNoSQLPrimaryStandbySwitched</v>
      </c>
      <c r="V52" s="10" t="b">
        <f>ISNUMBER(MATCH(U52,#REF!,0))</f>
        <v>0</v>
      </c>
    </row>
    <row r="53" spans="1:22" ht="115" x14ac:dyDescent="0.25">
      <c r="A53" s="12">
        <v>171</v>
      </c>
      <c r="B53" s="12" t="s">
        <v>179</v>
      </c>
      <c r="C53" s="12" t="s">
        <v>180</v>
      </c>
      <c r="D53" s="13" t="s">
        <v>181</v>
      </c>
      <c r="E53" s="12" t="s">
        <v>1726</v>
      </c>
      <c r="F53" s="12" t="s">
        <v>1727</v>
      </c>
      <c r="G53" s="12" t="s">
        <v>1626</v>
      </c>
      <c r="H53" s="12" t="s">
        <v>1728</v>
      </c>
      <c r="I53" s="12" t="s">
        <v>1729</v>
      </c>
      <c r="J53" s="4" t="s">
        <v>55</v>
      </c>
      <c r="K53" s="4" t="s">
        <v>1498</v>
      </c>
      <c r="L53" s="4" t="s">
        <v>1499</v>
      </c>
      <c r="M53" s="4" t="s">
        <v>1500</v>
      </c>
      <c r="N53" s="4"/>
      <c r="O53" s="4"/>
      <c r="P53" s="4"/>
      <c r="Q53" s="2"/>
      <c r="R53" s="2" t="s">
        <v>1110</v>
      </c>
      <c r="S53" s="2" t="str">
        <f t="shared" si="0"/>
        <v>否</v>
      </c>
      <c r="T53" s="11"/>
      <c r="U53" s="10" t="str">
        <f t="shared" si="1"/>
        <v>SYS.NoSQLNoSQLResizeInstanceFailed</v>
      </c>
      <c r="V53" s="10" t="b">
        <f>ISNUMBER(MATCH(U53,#REF!,0))</f>
        <v>0</v>
      </c>
    </row>
    <row r="54" spans="1:22" ht="115" x14ac:dyDescent="0.25">
      <c r="A54" s="12">
        <v>174</v>
      </c>
      <c r="B54" s="12" t="s">
        <v>179</v>
      </c>
      <c r="C54" s="12" t="s">
        <v>180</v>
      </c>
      <c r="D54" s="13" t="s">
        <v>181</v>
      </c>
      <c r="E54" s="12" t="s">
        <v>1730</v>
      </c>
      <c r="F54" s="12" t="s">
        <v>1731</v>
      </c>
      <c r="G54" s="12" t="s">
        <v>1626</v>
      </c>
      <c r="H54" s="12" t="s">
        <v>1732</v>
      </c>
      <c r="I54" s="12" t="s">
        <v>1630</v>
      </c>
      <c r="J54" s="4" t="s">
        <v>55</v>
      </c>
      <c r="K54" s="4" t="s">
        <v>1498</v>
      </c>
      <c r="L54" s="4" t="s">
        <v>1518</v>
      </c>
      <c r="M54" s="4" t="s">
        <v>1500</v>
      </c>
      <c r="N54" s="14"/>
      <c r="O54" s="14"/>
      <c r="P54" s="14"/>
      <c r="Q54" s="2"/>
      <c r="R54" s="2" t="s">
        <v>1110</v>
      </c>
      <c r="S54" s="2" t="str">
        <f t="shared" si="0"/>
        <v>否</v>
      </c>
      <c r="T54" s="11"/>
      <c r="U54" s="10" t="str">
        <f t="shared" si="1"/>
        <v>SYS.NoSQLNoSQLScaleUpStorageFailed</v>
      </c>
      <c r="V54" s="10" t="b">
        <f>ISNUMBER(MATCH(U54,#REF!,0))</f>
        <v>0</v>
      </c>
    </row>
    <row r="55" spans="1:22" ht="138" x14ac:dyDescent="0.25">
      <c r="A55" s="12">
        <v>180</v>
      </c>
      <c r="B55" s="12" t="s">
        <v>179</v>
      </c>
      <c r="C55" s="12" t="s">
        <v>180</v>
      </c>
      <c r="D55" s="13" t="s">
        <v>181</v>
      </c>
      <c r="E55" s="12" t="s">
        <v>1733</v>
      </c>
      <c r="F55" s="12" t="s">
        <v>1734</v>
      </c>
      <c r="G55" s="12" t="s">
        <v>1735</v>
      </c>
      <c r="H55" s="12" t="s">
        <v>1736</v>
      </c>
      <c r="I55" s="12" t="s">
        <v>1737</v>
      </c>
      <c r="J55" s="4" t="s">
        <v>55</v>
      </c>
      <c r="K55" s="4" t="s">
        <v>1498</v>
      </c>
      <c r="L55" s="4" t="s">
        <v>1518</v>
      </c>
      <c r="M55" s="4" t="s">
        <v>1500</v>
      </c>
      <c r="N55" s="14"/>
      <c r="O55" s="14"/>
      <c r="P55" s="14"/>
      <c r="Q55" s="2"/>
      <c r="R55" s="2" t="s">
        <v>1110</v>
      </c>
      <c r="S55" s="2" t="str">
        <f t="shared" si="0"/>
        <v>否</v>
      </c>
      <c r="T55" s="11"/>
      <c r="U55" s="10" t="str">
        <f t="shared" si="1"/>
        <v>SYS.NoSQLHotKeyOccurs</v>
      </c>
      <c r="V55" s="10" t="b">
        <f>ISNUMBER(MATCH(U55,#REF!,0))</f>
        <v>0</v>
      </c>
    </row>
    <row r="56" spans="1:22" ht="80.5" x14ac:dyDescent="0.25">
      <c r="A56" s="12">
        <v>181</v>
      </c>
      <c r="B56" s="12" t="s">
        <v>179</v>
      </c>
      <c r="C56" s="12" t="s">
        <v>180</v>
      </c>
      <c r="D56" s="13" t="s">
        <v>181</v>
      </c>
      <c r="E56" s="12" t="s">
        <v>1738</v>
      </c>
      <c r="F56" s="12" t="s">
        <v>1739</v>
      </c>
      <c r="G56" s="12" t="s">
        <v>1740</v>
      </c>
      <c r="H56" s="12" t="s">
        <v>1741</v>
      </c>
      <c r="I56" s="12" t="s">
        <v>1742</v>
      </c>
      <c r="J56" s="4" t="s">
        <v>55</v>
      </c>
      <c r="K56" s="4" t="s">
        <v>1498</v>
      </c>
      <c r="L56" s="4" t="s">
        <v>1518</v>
      </c>
      <c r="M56" s="4" t="s">
        <v>1500</v>
      </c>
      <c r="N56" s="14"/>
      <c r="O56" s="14"/>
      <c r="P56" s="14"/>
      <c r="Q56" s="2"/>
      <c r="R56" s="2" t="s">
        <v>1110</v>
      </c>
      <c r="S56" s="2" t="str">
        <f t="shared" si="0"/>
        <v>否</v>
      </c>
      <c r="T56" s="11"/>
      <c r="U56" s="10" t="str">
        <f t="shared" si="1"/>
        <v>SYS.NoSQLBigKeyOccurs</v>
      </c>
      <c r="V56" s="10" t="b">
        <f>ISNUMBER(MATCH(U56,#REF!,0))</f>
        <v>0</v>
      </c>
    </row>
    <row r="57" spans="1:22" ht="126.5" x14ac:dyDescent="0.25">
      <c r="A57" s="12">
        <v>183</v>
      </c>
      <c r="B57" s="12" t="s">
        <v>179</v>
      </c>
      <c r="C57" s="12" t="s">
        <v>180</v>
      </c>
      <c r="D57" s="13" t="s">
        <v>181</v>
      </c>
      <c r="E57" s="12" t="s">
        <v>1743</v>
      </c>
      <c r="F57" s="12" t="s">
        <v>1744</v>
      </c>
      <c r="G57" s="12" t="s">
        <v>1745</v>
      </c>
      <c r="H57" s="12" t="s">
        <v>1746</v>
      </c>
      <c r="I57" s="12" t="s">
        <v>1747</v>
      </c>
      <c r="J57" s="4" t="s">
        <v>55</v>
      </c>
      <c r="K57" s="4" t="s">
        <v>1498</v>
      </c>
      <c r="L57" s="4" t="s">
        <v>1518</v>
      </c>
      <c r="M57" s="4" t="s">
        <v>1500</v>
      </c>
      <c r="N57" s="14"/>
      <c r="O57" s="14"/>
      <c r="P57" s="14"/>
      <c r="Q57" s="2"/>
      <c r="R57" s="2" t="s">
        <v>1110</v>
      </c>
      <c r="S57" s="2" t="str">
        <f t="shared" si="0"/>
        <v>否</v>
      </c>
      <c r="T57" s="11"/>
      <c r="U57" s="10" t="str">
        <f t="shared" si="1"/>
        <v>SYS.NoSQLNoSQLStallingOccurs</v>
      </c>
      <c r="V57" s="10" t="b">
        <f>ISNUMBER(MATCH(U57,#REF!,0))</f>
        <v>0</v>
      </c>
    </row>
    <row r="58" spans="1:22" ht="126.5" x14ac:dyDescent="0.25">
      <c r="A58" s="12">
        <v>184</v>
      </c>
      <c r="B58" s="12" t="s">
        <v>179</v>
      </c>
      <c r="C58" s="12" t="s">
        <v>180</v>
      </c>
      <c r="D58" s="13" t="s">
        <v>181</v>
      </c>
      <c r="E58" s="12" t="s">
        <v>1748</v>
      </c>
      <c r="F58" s="12" t="s">
        <v>1749</v>
      </c>
      <c r="G58" s="12" t="s">
        <v>1750</v>
      </c>
      <c r="H58" s="12" t="s">
        <v>1746</v>
      </c>
      <c r="I58" s="12" t="s">
        <v>1747</v>
      </c>
      <c r="J58" s="4" t="s">
        <v>55</v>
      </c>
      <c r="K58" s="4" t="s">
        <v>1498</v>
      </c>
      <c r="L58" s="4" t="s">
        <v>1518</v>
      </c>
      <c r="M58" s="4" t="s">
        <v>1500</v>
      </c>
      <c r="N58" s="14"/>
      <c r="O58" s="14"/>
      <c r="P58" s="14"/>
      <c r="Q58" s="2"/>
      <c r="R58" s="2" t="s">
        <v>1110</v>
      </c>
      <c r="S58" s="2" t="str">
        <f t="shared" si="0"/>
        <v>否</v>
      </c>
      <c r="T58" s="11"/>
      <c r="U58" s="10" t="str">
        <f t="shared" si="1"/>
        <v>SYS.NoSQLNoSQLStoppingOccurs</v>
      </c>
      <c r="V58" s="10" t="b">
        <f>ISNUMBER(MATCH(U58,#REF!,0))</f>
        <v>0</v>
      </c>
    </row>
    <row r="59" spans="1:22" ht="57.5" x14ac:dyDescent="0.25">
      <c r="A59" s="12">
        <v>196</v>
      </c>
      <c r="B59" s="12" t="s">
        <v>1751</v>
      </c>
      <c r="C59" s="12" t="s">
        <v>1752</v>
      </c>
      <c r="D59" s="12" t="s">
        <v>688</v>
      </c>
      <c r="E59" s="12" t="s">
        <v>1726</v>
      </c>
      <c r="F59" s="12" t="s">
        <v>1753</v>
      </c>
      <c r="G59" s="12" t="s">
        <v>1626</v>
      </c>
      <c r="H59" s="12" t="s">
        <v>1754</v>
      </c>
      <c r="I59" s="12" t="s">
        <v>1755</v>
      </c>
      <c r="J59" s="4" t="s">
        <v>55</v>
      </c>
      <c r="K59" s="4" t="s">
        <v>1498</v>
      </c>
      <c r="L59" s="4" t="s">
        <v>1499</v>
      </c>
      <c r="M59" s="4" t="s">
        <v>1500</v>
      </c>
      <c r="N59" s="4"/>
      <c r="O59" s="4"/>
      <c r="P59" s="4"/>
      <c r="Q59" s="2"/>
      <c r="R59" s="2" t="s">
        <v>1110</v>
      </c>
      <c r="S59" s="2" t="str">
        <f t="shared" si="0"/>
        <v>否</v>
      </c>
      <c r="T59" s="11"/>
      <c r="U59" s="10" t="str">
        <f t="shared" si="1"/>
        <v>SYS.DDMresizeFlavorFailed</v>
      </c>
      <c r="V59" s="10" t="b">
        <f>ISNUMBER(MATCH(U59,#REF!,0))</f>
        <v>0</v>
      </c>
    </row>
    <row r="60" spans="1:22" ht="80.5" x14ac:dyDescent="0.25">
      <c r="A60" s="12">
        <v>197</v>
      </c>
      <c r="B60" s="12" t="s">
        <v>1751</v>
      </c>
      <c r="C60" s="12" t="s">
        <v>1752</v>
      </c>
      <c r="D60" s="12" t="s">
        <v>688</v>
      </c>
      <c r="E60" s="12" t="s">
        <v>1756</v>
      </c>
      <c r="F60" s="12" t="s">
        <v>1757</v>
      </c>
      <c r="G60" s="12" t="s">
        <v>1626</v>
      </c>
      <c r="H60" s="12" t="s">
        <v>1758</v>
      </c>
      <c r="I60" s="12" t="s">
        <v>1759</v>
      </c>
      <c r="J60" s="4" t="s">
        <v>55</v>
      </c>
      <c r="K60" s="4" t="s">
        <v>1498</v>
      </c>
      <c r="L60" s="4" t="s">
        <v>1499</v>
      </c>
      <c r="M60" s="4" t="s">
        <v>1500</v>
      </c>
      <c r="N60" s="4"/>
      <c r="O60" s="4"/>
      <c r="P60" s="4"/>
      <c r="Q60" s="2"/>
      <c r="R60" s="2" t="s">
        <v>1110</v>
      </c>
      <c r="S60" s="2" t="str">
        <f t="shared" si="0"/>
        <v>否</v>
      </c>
      <c r="T60" s="11"/>
      <c r="U60" s="10" t="str">
        <f t="shared" si="1"/>
        <v>SYS.DDMenlargeNodeFailed</v>
      </c>
      <c r="V60" s="10" t="b">
        <f>ISNUMBER(MATCH(U60,#REF!,0))</f>
        <v>0</v>
      </c>
    </row>
    <row r="61" spans="1:22" ht="34.5" x14ac:dyDescent="0.25">
      <c r="A61" s="12">
        <v>202</v>
      </c>
      <c r="B61" s="12" t="s">
        <v>1751</v>
      </c>
      <c r="C61" s="12" t="s">
        <v>1752</v>
      </c>
      <c r="D61" s="12" t="s">
        <v>688</v>
      </c>
      <c r="E61" s="12" t="s">
        <v>1760</v>
      </c>
      <c r="F61" s="12" t="s">
        <v>1761</v>
      </c>
      <c r="G61" s="12" t="s">
        <v>1762</v>
      </c>
      <c r="H61" s="12" t="s">
        <v>1763</v>
      </c>
      <c r="I61" s="12" t="s">
        <v>1764</v>
      </c>
      <c r="J61" s="4" t="s">
        <v>55</v>
      </c>
      <c r="K61" s="4" t="s">
        <v>1498</v>
      </c>
      <c r="L61" s="4" t="s">
        <v>1499</v>
      </c>
      <c r="M61" s="4" t="s">
        <v>1500</v>
      </c>
      <c r="N61" s="4"/>
      <c r="O61" s="4"/>
      <c r="P61" s="4"/>
      <c r="Q61" s="2"/>
      <c r="R61" s="2" t="s">
        <v>1110</v>
      </c>
      <c r="S61" s="2" t="str">
        <f t="shared" si="0"/>
        <v>否</v>
      </c>
      <c r="T61" s="11"/>
      <c r="U61" s="10" t="str">
        <f t="shared" si="1"/>
        <v>SYS.DDMmigrateLogicDbFailed</v>
      </c>
      <c r="V61" s="10" t="b">
        <f>ISNUMBER(MATCH(U61,#REF!,0))</f>
        <v>0</v>
      </c>
    </row>
    <row r="62" spans="1:22" ht="34.5" x14ac:dyDescent="0.25">
      <c r="A62" s="12">
        <v>203</v>
      </c>
      <c r="B62" s="12" t="s">
        <v>1751</v>
      </c>
      <c r="C62" s="12" t="s">
        <v>1752</v>
      </c>
      <c r="D62" s="12" t="s">
        <v>688</v>
      </c>
      <c r="E62" s="12" t="s">
        <v>1765</v>
      </c>
      <c r="F62" s="12" t="s">
        <v>1766</v>
      </c>
      <c r="G62" s="12" t="s">
        <v>1762</v>
      </c>
      <c r="H62" s="12" t="s">
        <v>1763</v>
      </c>
      <c r="I62" s="12" t="s">
        <v>1764</v>
      </c>
      <c r="J62" s="4" t="s">
        <v>55</v>
      </c>
      <c r="K62" s="4" t="s">
        <v>1498</v>
      </c>
      <c r="L62" s="4" t="s">
        <v>1499</v>
      </c>
      <c r="M62" s="4" t="s">
        <v>1500</v>
      </c>
      <c r="N62" s="4"/>
      <c r="O62" s="4"/>
      <c r="P62" s="4"/>
      <c r="Q62" s="2"/>
      <c r="R62" s="2" t="s">
        <v>1110</v>
      </c>
      <c r="S62" s="2" t="str">
        <f t="shared" si="0"/>
        <v>否</v>
      </c>
      <c r="T62" s="11"/>
      <c r="U62" s="10" t="str">
        <f t="shared" si="1"/>
        <v>SYS.DDMretryMigrateLogicDbFailed</v>
      </c>
      <c r="V62" s="10" t="b">
        <f>ISNUMBER(MATCH(U62,#REF!,0))</f>
        <v>0</v>
      </c>
    </row>
    <row r="63" spans="1:22" ht="34.5" x14ac:dyDescent="0.25">
      <c r="A63" s="12">
        <v>205</v>
      </c>
      <c r="B63" s="12" t="s">
        <v>1103</v>
      </c>
      <c r="C63" s="12" t="s">
        <v>1104</v>
      </c>
      <c r="D63" s="12" t="s">
        <v>1105</v>
      </c>
      <c r="E63" s="12" t="s">
        <v>1574</v>
      </c>
      <c r="F63" s="12" t="s">
        <v>1575</v>
      </c>
      <c r="G63" s="12" t="s">
        <v>1768</v>
      </c>
      <c r="H63" s="12" t="s">
        <v>1769</v>
      </c>
      <c r="I63" s="12" t="s">
        <v>1770</v>
      </c>
      <c r="J63" s="4" t="s">
        <v>55</v>
      </c>
      <c r="K63" s="4" t="s">
        <v>1498</v>
      </c>
      <c r="L63" s="4" t="s">
        <v>1499</v>
      </c>
      <c r="M63" s="4" t="s">
        <v>1500</v>
      </c>
      <c r="N63" s="4"/>
      <c r="O63" s="4"/>
      <c r="P63" s="4"/>
      <c r="Q63" s="2"/>
      <c r="R63" s="2" t="s">
        <v>1110</v>
      </c>
      <c r="S63" s="2" t="str">
        <f t="shared" si="0"/>
        <v>否</v>
      </c>
      <c r="T63" s="11"/>
      <c r="U63" s="10" t="str">
        <f t="shared" si="1"/>
        <v>SYS.BMSReadOnlyFileSystem</v>
      </c>
      <c r="V63" s="10" t="b">
        <f>ISNUMBER(MATCH(U63,#REF!,0))</f>
        <v>0</v>
      </c>
    </row>
    <row r="64" spans="1:22" ht="80.5" x14ac:dyDescent="0.25">
      <c r="A64" s="12">
        <v>212</v>
      </c>
      <c r="B64" s="12" t="s">
        <v>1103</v>
      </c>
      <c r="C64" s="12" t="s">
        <v>1104</v>
      </c>
      <c r="D64" s="12" t="s">
        <v>1105</v>
      </c>
      <c r="E64" s="12" t="s">
        <v>1584</v>
      </c>
      <c r="F64" s="12" t="s">
        <v>1585</v>
      </c>
      <c r="G64" s="12" t="s">
        <v>1782</v>
      </c>
      <c r="H64" s="12" t="s">
        <v>1783</v>
      </c>
      <c r="I64" s="12" t="s">
        <v>1784</v>
      </c>
      <c r="J64" s="4" t="s">
        <v>55</v>
      </c>
      <c r="K64" s="4" t="s">
        <v>1498</v>
      </c>
      <c r="L64" s="4" t="s">
        <v>1518</v>
      </c>
      <c r="M64" s="4" t="s">
        <v>1500</v>
      </c>
      <c r="N64" s="4"/>
      <c r="O64" s="4"/>
      <c r="P64" s="4"/>
      <c r="Q64" s="2"/>
      <c r="R64" s="2" t="s">
        <v>1499</v>
      </c>
      <c r="S64" s="2" t="str">
        <f t="shared" si="0"/>
        <v>否</v>
      </c>
      <c r="T64" s="11"/>
      <c r="U64" s="10" t="str">
        <f t="shared" si="1"/>
        <v>SYS.BMSMountDiskSystem</v>
      </c>
      <c r="V64" s="10" t="b">
        <f>ISNUMBER(MATCH(U64,#REF!,0))</f>
        <v>0</v>
      </c>
    </row>
    <row r="65" spans="1:22" ht="184" x14ac:dyDescent="0.25">
      <c r="A65" s="12">
        <v>223</v>
      </c>
      <c r="B65" s="12" t="s">
        <v>1103</v>
      </c>
      <c r="C65" s="12" t="s">
        <v>1104</v>
      </c>
      <c r="D65" s="12" t="s">
        <v>1105</v>
      </c>
      <c r="E65" s="12" t="s">
        <v>1792</v>
      </c>
      <c r="F65" s="12" t="s">
        <v>1793</v>
      </c>
      <c r="G65" s="12" t="s">
        <v>1794</v>
      </c>
      <c r="H65" s="12" t="s">
        <v>1795</v>
      </c>
      <c r="I65" s="12" t="s">
        <v>1791</v>
      </c>
      <c r="J65" s="4" t="s">
        <v>55</v>
      </c>
      <c r="K65" s="2" t="s">
        <v>1498</v>
      </c>
      <c r="L65" s="4" t="s">
        <v>1518</v>
      </c>
      <c r="M65" s="4" t="s">
        <v>1500</v>
      </c>
      <c r="N65" s="4"/>
      <c r="O65" s="4"/>
      <c r="P65" s="4"/>
      <c r="Q65" s="2"/>
      <c r="R65" s="2" t="s">
        <v>1499</v>
      </c>
      <c r="S65" s="2" t="str">
        <f t="shared" si="0"/>
        <v>否</v>
      </c>
      <c r="T65" s="11"/>
      <c r="U65" s="10" t="str">
        <f t="shared" si="1"/>
        <v>SYS.BMSgpuDRAMUncorrectableEccError</v>
      </c>
      <c r="V65" s="10" t="b">
        <f>ISNUMBER(MATCH(U65,#REF!,0))</f>
        <v>0</v>
      </c>
    </row>
    <row r="66" spans="1:22" ht="23" x14ac:dyDescent="0.25">
      <c r="A66" s="12">
        <v>226</v>
      </c>
      <c r="B66" s="12" t="s">
        <v>1103</v>
      </c>
      <c r="C66" s="12" t="s">
        <v>1104</v>
      </c>
      <c r="D66" s="12" t="s">
        <v>1105</v>
      </c>
      <c r="E66" s="12" t="s">
        <v>1796</v>
      </c>
      <c r="F66" s="12" t="s">
        <v>1797</v>
      </c>
      <c r="G66" s="12" t="s">
        <v>1110</v>
      </c>
      <c r="H66" s="12" t="s">
        <v>1110</v>
      </c>
      <c r="I66" s="12" t="s">
        <v>1110</v>
      </c>
      <c r="J66" s="4" t="s">
        <v>55</v>
      </c>
      <c r="K66" s="2" t="s">
        <v>1498</v>
      </c>
      <c r="L66" s="4" t="s">
        <v>1518</v>
      </c>
      <c r="M66" s="4" t="s">
        <v>1500</v>
      </c>
      <c r="N66" s="4"/>
      <c r="O66" s="4"/>
      <c r="P66" s="4"/>
      <c r="Q66" s="2"/>
      <c r="R66" s="2" t="s">
        <v>1499</v>
      </c>
      <c r="S66" s="2" t="str">
        <f t="shared" si="0"/>
        <v>否</v>
      </c>
      <c r="T66" s="11"/>
      <c r="U66" s="10" t="str">
        <f t="shared" si="1"/>
        <v>SYS.BMSnicLinkDown</v>
      </c>
      <c r="V66" s="10" t="b">
        <f>ISNUMBER(MATCH(U66,#REF!,0))</f>
        <v>0</v>
      </c>
    </row>
    <row r="67" spans="1:22" ht="57.5" x14ac:dyDescent="0.25">
      <c r="A67" s="12">
        <v>230</v>
      </c>
      <c r="B67" s="12" t="s">
        <v>1103</v>
      </c>
      <c r="C67" s="12" t="s">
        <v>1104</v>
      </c>
      <c r="D67" s="12" t="s">
        <v>1105</v>
      </c>
      <c r="E67" s="12" t="s">
        <v>1798</v>
      </c>
      <c r="F67" s="12" t="s">
        <v>1799</v>
      </c>
      <c r="G67" s="12" t="s">
        <v>1800</v>
      </c>
      <c r="H67" s="12" t="s">
        <v>1801</v>
      </c>
      <c r="I67" s="12" t="s">
        <v>1802</v>
      </c>
      <c r="J67" s="4" t="s">
        <v>55</v>
      </c>
      <c r="K67" s="2" t="s">
        <v>1498</v>
      </c>
      <c r="L67" s="4" t="s">
        <v>1518</v>
      </c>
      <c r="M67" s="4" t="s">
        <v>1500</v>
      </c>
      <c r="N67" s="4"/>
      <c r="O67" s="4"/>
      <c r="P67" s="4"/>
      <c r="Q67" s="2"/>
      <c r="R67" s="2" t="s">
        <v>1499</v>
      </c>
      <c r="S67" s="2" t="str">
        <f t="shared" ref="S67:S130" si="2">IF(L67=R67,"","否")</f>
        <v>否</v>
      </c>
      <c r="T67" s="11"/>
      <c r="U67" s="10" t="str">
        <f t="shared" ref="U67:U130" si="3">C67&amp;F67</f>
        <v>SYS.BMSlocaldisk_recovery_completed</v>
      </c>
      <c r="V67" s="10" t="b">
        <f>ISNUMBER(MATCH(U67,#REF!,0))</f>
        <v>0</v>
      </c>
    </row>
    <row r="68" spans="1:22" ht="34.5" x14ac:dyDescent="0.25">
      <c r="A68" s="12">
        <v>234</v>
      </c>
      <c r="B68" s="12" t="s">
        <v>1103</v>
      </c>
      <c r="C68" s="12" t="s">
        <v>1104</v>
      </c>
      <c r="D68" s="12" t="s">
        <v>1105</v>
      </c>
      <c r="E68" s="12" t="s">
        <v>1803</v>
      </c>
      <c r="F68" s="12" t="s">
        <v>1804</v>
      </c>
      <c r="G68" s="12" t="s">
        <v>1805</v>
      </c>
      <c r="H68" s="12" t="s">
        <v>1806</v>
      </c>
      <c r="I68" s="12" t="s">
        <v>1807</v>
      </c>
      <c r="J68" s="4" t="s">
        <v>55</v>
      </c>
      <c r="K68" s="2" t="s">
        <v>1498</v>
      </c>
      <c r="L68" s="4" t="s">
        <v>1518</v>
      </c>
      <c r="M68" s="4" t="s">
        <v>1500</v>
      </c>
      <c r="N68" s="4"/>
      <c r="O68" s="4"/>
      <c r="P68" s="4"/>
      <c r="Q68" s="2"/>
      <c r="R68" s="2" t="s">
        <v>1499</v>
      </c>
      <c r="S68" s="2" t="str">
        <f t="shared" si="2"/>
        <v>否</v>
      </c>
      <c r="T68" s="11"/>
      <c r="U68" s="10" t="str">
        <f t="shared" si="3"/>
        <v>SYS.BMSInfinibandStatusException</v>
      </c>
      <c r="V68" s="10" t="b">
        <f>ISNUMBER(MATCH(U68,#REF!,0))</f>
        <v>0</v>
      </c>
    </row>
    <row r="69" spans="1:22" ht="57.5" x14ac:dyDescent="0.25">
      <c r="A69" s="13">
        <v>246</v>
      </c>
      <c r="B69" s="13" t="s">
        <v>1103</v>
      </c>
      <c r="C69" s="13" t="s">
        <v>1104</v>
      </c>
      <c r="D69" s="13" t="s">
        <v>1105</v>
      </c>
      <c r="E69" s="13" t="s">
        <v>1571</v>
      </c>
      <c r="F69" s="13" t="s">
        <v>1816</v>
      </c>
      <c r="G69" s="13" t="s">
        <v>1817</v>
      </c>
      <c r="H69" s="13" t="s">
        <v>1818</v>
      </c>
      <c r="I69" s="13" t="s">
        <v>1819</v>
      </c>
      <c r="J69" s="4" t="s">
        <v>55</v>
      </c>
      <c r="K69" s="4" t="s">
        <v>1498</v>
      </c>
      <c r="L69" s="4" t="s">
        <v>1518</v>
      </c>
      <c r="M69" s="4" t="s">
        <v>1500</v>
      </c>
      <c r="N69" s="4"/>
      <c r="O69" s="4"/>
      <c r="P69" s="4"/>
      <c r="Q69" s="2"/>
      <c r="R69" s="2" t="s">
        <v>1518</v>
      </c>
      <c r="S69" s="2" t="str">
        <f t="shared" si="2"/>
        <v/>
      </c>
      <c r="T69" s="11"/>
      <c r="U69" s="10" t="str">
        <f t="shared" si="3"/>
        <v>SYS.BMSUncorrectableEccErrorCount</v>
      </c>
      <c r="V69" s="10" t="b">
        <f>ISNUMBER(MATCH(U69,#REF!,0))</f>
        <v>0</v>
      </c>
    </row>
    <row r="70" spans="1:22" ht="80.5" x14ac:dyDescent="0.25">
      <c r="A70" s="12">
        <v>254</v>
      </c>
      <c r="B70" s="12" t="s">
        <v>1103</v>
      </c>
      <c r="C70" s="12" t="s">
        <v>1104</v>
      </c>
      <c r="D70" s="12" t="s">
        <v>1105</v>
      </c>
      <c r="E70" s="12" t="s">
        <v>1824</v>
      </c>
      <c r="F70" s="12" t="s">
        <v>1825</v>
      </c>
      <c r="G70" s="12" t="s">
        <v>1826</v>
      </c>
      <c r="H70" s="12" t="s">
        <v>1823</v>
      </c>
      <c r="I70" s="12" t="s">
        <v>1809</v>
      </c>
      <c r="J70" s="4" t="s">
        <v>55</v>
      </c>
      <c r="K70" s="4" t="s">
        <v>1498</v>
      </c>
      <c r="L70" s="4" t="s">
        <v>1518</v>
      </c>
      <c r="M70" s="4" t="s">
        <v>1500</v>
      </c>
      <c r="N70" s="4"/>
      <c r="O70" s="4"/>
      <c r="P70" s="4"/>
      <c r="Q70" s="2"/>
      <c r="R70" s="2" t="s">
        <v>1499</v>
      </c>
      <c r="S70" s="2" t="str">
        <f t="shared" si="2"/>
        <v>否</v>
      </c>
      <c r="T70" s="11"/>
      <c r="U70" s="10" t="str">
        <f t="shared" si="3"/>
        <v>SYS.BMSserverReboot</v>
      </c>
      <c r="V70" s="10" t="b">
        <f>ISNUMBER(MATCH(U70,#REF!,0))</f>
        <v>0</v>
      </c>
    </row>
    <row r="71" spans="1:22" ht="126.5" x14ac:dyDescent="0.25">
      <c r="A71" s="12">
        <v>255</v>
      </c>
      <c r="B71" s="12" t="s">
        <v>1103</v>
      </c>
      <c r="C71" s="12" t="s">
        <v>1104</v>
      </c>
      <c r="D71" s="12" t="s">
        <v>1105</v>
      </c>
      <c r="E71" s="12" t="s">
        <v>1827</v>
      </c>
      <c r="F71" s="12" t="s">
        <v>1828</v>
      </c>
      <c r="G71" s="12" t="s">
        <v>1829</v>
      </c>
      <c r="H71" s="12" t="s">
        <v>1823</v>
      </c>
      <c r="I71" s="12" t="s">
        <v>1809</v>
      </c>
      <c r="J71" s="4" t="s">
        <v>55</v>
      </c>
      <c r="K71" s="4" t="s">
        <v>1498</v>
      </c>
      <c r="L71" s="4" t="s">
        <v>1518</v>
      </c>
      <c r="M71" s="4" t="s">
        <v>1500</v>
      </c>
      <c r="N71" s="4"/>
      <c r="O71" s="4"/>
      <c r="P71" s="4"/>
      <c r="Q71" s="2"/>
      <c r="R71" s="2" t="s">
        <v>1499</v>
      </c>
      <c r="S71" s="2" t="str">
        <f t="shared" si="2"/>
        <v>否</v>
      </c>
      <c r="T71" s="11"/>
      <c r="U71" s="10" t="str">
        <f t="shared" si="3"/>
        <v>SYS.BMSlinkDown</v>
      </c>
      <c r="V71" s="10" t="b">
        <f>ISNUMBER(MATCH(U71,#REF!,0))</f>
        <v>0</v>
      </c>
    </row>
    <row r="72" spans="1:22" ht="80.5" x14ac:dyDescent="0.25">
      <c r="A72" s="12">
        <v>256</v>
      </c>
      <c r="B72" s="12" t="s">
        <v>1103</v>
      </c>
      <c r="C72" s="12" t="s">
        <v>1104</v>
      </c>
      <c r="D72" s="12" t="s">
        <v>1105</v>
      </c>
      <c r="E72" s="12" t="s">
        <v>1830</v>
      </c>
      <c r="F72" s="12" t="s">
        <v>1831</v>
      </c>
      <c r="G72" s="12" t="s">
        <v>1832</v>
      </c>
      <c r="H72" s="12" t="s">
        <v>1823</v>
      </c>
      <c r="I72" s="12" t="s">
        <v>1833</v>
      </c>
      <c r="J72" s="4" t="s">
        <v>55</v>
      </c>
      <c r="K72" s="4" t="s">
        <v>1498</v>
      </c>
      <c r="L72" s="4" t="s">
        <v>1518</v>
      </c>
      <c r="M72" s="4" t="s">
        <v>1500</v>
      </c>
      <c r="N72" s="4"/>
      <c r="O72" s="4"/>
      <c r="P72" s="4"/>
      <c r="Q72" s="2"/>
      <c r="R72" s="2" t="s">
        <v>1499</v>
      </c>
      <c r="S72" s="2" t="str">
        <f t="shared" si="2"/>
        <v>否</v>
      </c>
      <c r="T72" s="11"/>
      <c r="U72" s="10" t="str">
        <f t="shared" si="3"/>
        <v>SYS.BMSpcieError</v>
      </c>
      <c r="V72" s="10" t="b">
        <f>ISNUMBER(MATCH(U72,#REF!,0))</f>
        <v>0</v>
      </c>
    </row>
    <row r="73" spans="1:22" ht="80.5" x14ac:dyDescent="0.25">
      <c r="A73" s="12">
        <v>257</v>
      </c>
      <c r="B73" s="12" t="s">
        <v>1103</v>
      </c>
      <c r="C73" s="12" t="s">
        <v>1104</v>
      </c>
      <c r="D73" s="12" t="s">
        <v>1105</v>
      </c>
      <c r="E73" s="12" t="s">
        <v>1834</v>
      </c>
      <c r="F73" s="12" t="s">
        <v>1835</v>
      </c>
      <c r="G73" s="12" t="s">
        <v>1836</v>
      </c>
      <c r="H73" s="12" t="s">
        <v>1823</v>
      </c>
      <c r="I73" s="12" t="s">
        <v>1837</v>
      </c>
      <c r="J73" s="4" t="s">
        <v>55</v>
      </c>
      <c r="K73" s="4" t="s">
        <v>1498</v>
      </c>
      <c r="L73" s="4" t="s">
        <v>1518</v>
      </c>
      <c r="M73" s="4" t="s">
        <v>1500</v>
      </c>
      <c r="N73" s="4"/>
      <c r="O73" s="4"/>
      <c r="P73" s="4"/>
      <c r="Q73" s="2"/>
      <c r="R73" s="2" t="s">
        <v>1499</v>
      </c>
      <c r="S73" s="2" t="str">
        <f t="shared" si="2"/>
        <v>否</v>
      </c>
      <c r="T73" s="11"/>
      <c r="U73" s="10" t="str">
        <f t="shared" si="3"/>
        <v>SYS.BMSdiskError</v>
      </c>
      <c r="V73" s="10" t="b">
        <f>ISNUMBER(MATCH(U73,#REF!,0))</f>
        <v>0</v>
      </c>
    </row>
    <row r="74" spans="1:22" ht="80.5" x14ac:dyDescent="0.25">
      <c r="A74" s="12">
        <v>258</v>
      </c>
      <c r="B74" s="12" t="s">
        <v>1103</v>
      </c>
      <c r="C74" s="12" t="s">
        <v>1104</v>
      </c>
      <c r="D74" s="12" t="s">
        <v>1105</v>
      </c>
      <c r="E74" s="12" t="s">
        <v>1838</v>
      </c>
      <c r="F74" s="12" t="s">
        <v>1839</v>
      </c>
      <c r="G74" s="12" t="s">
        <v>1840</v>
      </c>
      <c r="H74" s="12" t="s">
        <v>1823</v>
      </c>
      <c r="I74" s="12" t="s">
        <v>1837</v>
      </c>
      <c r="J74" s="4" t="s">
        <v>55</v>
      </c>
      <c r="K74" s="4" t="s">
        <v>1498</v>
      </c>
      <c r="L74" s="4" t="s">
        <v>1518</v>
      </c>
      <c r="M74" s="4" t="s">
        <v>1500</v>
      </c>
      <c r="N74" s="4"/>
      <c r="O74" s="4"/>
      <c r="P74" s="4"/>
      <c r="Q74" s="2"/>
      <c r="R74" s="2" t="s">
        <v>1110</v>
      </c>
      <c r="S74" s="2" t="str">
        <f t="shared" si="2"/>
        <v>否</v>
      </c>
      <c r="T74" s="11"/>
      <c r="U74" s="10" t="str">
        <f t="shared" si="3"/>
        <v>SYS.BMSstorageError</v>
      </c>
      <c r="V74" s="10" t="b">
        <f>ISNUMBER(MATCH(U74,#REF!,0))</f>
        <v>0</v>
      </c>
    </row>
    <row r="75" spans="1:22" ht="92" x14ac:dyDescent="0.25">
      <c r="A75" s="12">
        <v>267</v>
      </c>
      <c r="B75" s="12" t="s">
        <v>1103</v>
      </c>
      <c r="C75" s="12" t="s">
        <v>1104</v>
      </c>
      <c r="D75" s="12" t="s">
        <v>1105</v>
      </c>
      <c r="E75" s="12" t="s">
        <v>1841</v>
      </c>
      <c r="F75" s="12" t="s">
        <v>1842</v>
      </c>
      <c r="G75" s="12" t="s">
        <v>1843</v>
      </c>
      <c r="H75" s="12" t="s">
        <v>1844</v>
      </c>
      <c r="I75" s="12" t="s">
        <v>1845</v>
      </c>
      <c r="J75" s="4" t="s">
        <v>55</v>
      </c>
      <c r="K75" s="4" t="s">
        <v>1498</v>
      </c>
      <c r="L75" s="4" t="s">
        <v>1518</v>
      </c>
      <c r="M75" s="4" t="s">
        <v>1500</v>
      </c>
      <c r="N75" s="4"/>
      <c r="O75" s="4"/>
      <c r="P75" s="4"/>
      <c r="Q75" s="2"/>
      <c r="R75" s="2" t="s">
        <v>1110</v>
      </c>
      <c r="S75" s="2" t="str">
        <f t="shared" si="2"/>
        <v>否</v>
      </c>
      <c r="T75" s="11"/>
      <c r="U75" s="10" t="str">
        <f t="shared" si="3"/>
        <v>SYS.BMSgpuDriverLinkFailureAlarm</v>
      </c>
      <c r="V75" s="10" t="b">
        <f>ISNUMBER(MATCH(U75,#REF!,0))</f>
        <v>0</v>
      </c>
    </row>
    <row r="76" spans="1:22" ht="57.5" x14ac:dyDescent="0.25">
      <c r="A76" s="12">
        <v>268</v>
      </c>
      <c r="B76" s="12" t="s">
        <v>1103</v>
      </c>
      <c r="C76" s="12" t="s">
        <v>1104</v>
      </c>
      <c r="D76" s="12" t="s">
        <v>1105</v>
      </c>
      <c r="E76" s="12" t="s">
        <v>1846</v>
      </c>
      <c r="F76" s="12" t="s">
        <v>1847</v>
      </c>
      <c r="G76" s="12" t="s">
        <v>1848</v>
      </c>
      <c r="H76" s="12" t="s">
        <v>1808</v>
      </c>
      <c r="I76" s="12" t="s">
        <v>1849</v>
      </c>
      <c r="J76" s="4" t="s">
        <v>55</v>
      </c>
      <c r="K76" s="4" t="s">
        <v>1498</v>
      </c>
      <c r="L76" s="4" t="s">
        <v>1518</v>
      </c>
      <c r="M76" s="4" t="s">
        <v>1500</v>
      </c>
      <c r="N76" s="4"/>
      <c r="O76" s="4"/>
      <c r="P76" s="4"/>
      <c r="Q76" s="2"/>
      <c r="R76" s="2" t="s">
        <v>1110</v>
      </c>
      <c r="S76" s="2" t="str">
        <f t="shared" si="2"/>
        <v>否</v>
      </c>
      <c r="T76" s="11"/>
      <c r="U76" s="10" t="str">
        <f t="shared" si="3"/>
        <v>SYS.BMSgpuPcieLinkFailureAlarm</v>
      </c>
      <c r="V76" s="10" t="b">
        <f>ISNUMBER(MATCH(U76,#REF!,0))</f>
        <v>0</v>
      </c>
    </row>
    <row r="77" spans="1:22" ht="69" x14ac:dyDescent="0.25">
      <c r="A77" s="12">
        <v>269</v>
      </c>
      <c r="B77" s="12" t="s">
        <v>1103</v>
      </c>
      <c r="C77" s="12" t="s">
        <v>1104</v>
      </c>
      <c r="D77" s="12" t="s">
        <v>1105</v>
      </c>
      <c r="E77" s="12" t="s">
        <v>1850</v>
      </c>
      <c r="F77" s="12" t="s">
        <v>1851</v>
      </c>
      <c r="G77" s="12" t="s">
        <v>1852</v>
      </c>
      <c r="H77" s="12" t="s">
        <v>1808</v>
      </c>
      <c r="I77" s="12" t="s">
        <v>1853</v>
      </c>
      <c r="J77" s="4" t="s">
        <v>55</v>
      </c>
      <c r="K77" s="2" t="s">
        <v>1498</v>
      </c>
      <c r="L77" s="4" t="s">
        <v>1518</v>
      </c>
      <c r="M77" s="4" t="s">
        <v>1500</v>
      </c>
      <c r="N77" s="4"/>
      <c r="O77" s="4"/>
      <c r="P77" s="4"/>
      <c r="Q77" s="2"/>
      <c r="R77" s="2" t="s">
        <v>1110</v>
      </c>
      <c r="S77" s="2" t="str">
        <f t="shared" si="2"/>
        <v>否</v>
      </c>
      <c r="T77" s="11"/>
      <c r="U77" s="10" t="str">
        <f t="shared" si="3"/>
        <v>SYS.BMSvmLostGpuAlarm</v>
      </c>
      <c r="V77" s="10" t="b">
        <f>ISNUMBER(MATCH(U77,#REF!,0))</f>
        <v>0</v>
      </c>
    </row>
    <row r="78" spans="1:22" ht="149.5" x14ac:dyDescent="0.25">
      <c r="A78" s="12">
        <v>287</v>
      </c>
      <c r="B78" s="12" t="s">
        <v>1227</v>
      </c>
      <c r="C78" s="12" t="s">
        <v>1228</v>
      </c>
      <c r="D78" s="12" t="s">
        <v>1229</v>
      </c>
      <c r="E78" s="12" t="s">
        <v>1854</v>
      </c>
      <c r="F78" s="12" t="s">
        <v>1855</v>
      </c>
      <c r="G78" s="12" t="s">
        <v>1856</v>
      </c>
      <c r="H78" s="12" t="s">
        <v>1857</v>
      </c>
      <c r="I78" s="12" t="s">
        <v>1809</v>
      </c>
      <c r="J78" s="4" t="s">
        <v>55</v>
      </c>
      <c r="K78" s="4" t="s">
        <v>1498</v>
      </c>
      <c r="L78" s="4" t="s">
        <v>1499</v>
      </c>
      <c r="M78" s="4" t="s">
        <v>1500</v>
      </c>
      <c r="N78" s="4"/>
      <c r="O78" s="4"/>
      <c r="P78" s="4"/>
      <c r="Q78" s="2"/>
      <c r="R78" s="2" t="s">
        <v>1110</v>
      </c>
      <c r="S78" s="2" t="str">
        <f t="shared" si="2"/>
        <v>否</v>
      </c>
      <c r="T78" s="11"/>
      <c r="U78" s="10" t="str">
        <f t="shared" si="3"/>
        <v>SYS.HSShssAgentAbnormalOffline</v>
      </c>
      <c r="V78" s="10" t="b">
        <f>ISNUMBER(MATCH(U78,#REF!,0))</f>
        <v>0</v>
      </c>
    </row>
    <row r="79" spans="1:22" ht="161" x14ac:dyDescent="0.25">
      <c r="A79" s="12">
        <v>288</v>
      </c>
      <c r="B79" s="12" t="s">
        <v>1227</v>
      </c>
      <c r="C79" s="12" t="s">
        <v>1228</v>
      </c>
      <c r="D79" s="12" t="s">
        <v>1229</v>
      </c>
      <c r="E79" s="12" t="s">
        <v>1858</v>
      </c>
      <c r="F79" s="12" t="s">
        <v>1859</v>
      </c>
      <c r="G79" s="12" t="s">
        <v>1860</v>
      </c>
      <c r="H79" s="12" t="s">
        <v>1861</v>
      </c>
      <c r="I79" s="12" t="s">
        <v>1809</v>
      </c>
      <c r="J79" s="4" t="s">
        <v>55</v>
      </c>
      <c r="K79" s="4" t="s">
        <v>1498</v>
      </c>
      <c r="L79" s="4" t="s">
        <v>1518</v>
      </c>
      <c r="M79" s="4" t="s">
        <v>1500</v>
      </c>
      <c r="N79" s="4"/>
      <c r="O79" s="4"/>
      <c r="P79" s="4"/>
      <c r="Q79" s="2"/>
      <c r="R79" s="2" t="s">
        <v>1110</v>
      </c>
      <c r="S79" s="2" t="str">
        <f t="shared" si="2"/>
        <v>否</v>
      </c>
      <c r="T79" s="11"/>
      <c r="U79" s="10" t="str">
        <f t="shared" si="3"/>
        <v>SYS.HSShssAgentAbnormalProtection</v>
      </c>
      <c r="V79" s="10" t="b">
        <f>ISNUMBER(MATCH(U79,#REF!,0))</f>
        <v>0</v>
      </c>
    </row>
    <row r="80" spans="1:22" ht="92" x14ac:dyDescent="0.25">
      <c r="A80" s="12">
        <v>313</v>
      </c>
      <c r="B80" s="12" t="s">
        <v>258</v>
      </c>
      <c r="C80" s="12" t="s">
        <v>259</v>
      </c>
      <c r="D80" s="12" t="s">
        <v>260</v>
      </c>
      <c r="E80" s="12" t="s">
        <v>1862</v>
      </c>
      <c r="F80" s="12" t="s">
        <v>1863</v>
      </c>
      <c r="G80" s="12" t="s">
        <v>1864</v>
      </c>
      <c r="H80" s="12" t="s">
        <v>1865</v>
      </c>
      <c r="I80" s="12" t="s">
        <v>1866</v>
      </c>
      <c r="J80" s="4" t="s">
        <v>55</v>
      </c>
      <c r="K80" s="4" t="s">
        <v>1498</v>
      </c>
      <c r="L80" s="4" t="s">
        <v>1518</v>
      </c>
      <c r="M80" s="4" t="s">
        <v>1500</v>
      </c>
      <c r="N80" s="4"/>
      <c r="O80" s="4"/>
      <c r="P80" s="4"/>
      <c r="Q80" s="2"/>
      <c r="R80" s="2" t="s">
        <v>1110</v>
      </c>
      <c r="S80" s="2" t="str">
        <f t="shared" si="2"/>
        <v>否</v>
      </c>
      <c r="T80" s="11"/>
      <c r="U80" s="10" t="str">
        <f t="shared" si="3"/>
        <v>SYS.ELBhealthCheckUnhealthy</v>
      </c>
      <c r="V80" s="10" t="b">
        <f>ISNUMBER(MATCH(U80,#REF!,0))</f>
        <v>0</v>
      </c>
    </row>
    <row r="81" spans="1:22" ht="46" x14ac:dyDescent="0.25">
      <c r="A81" s="12">
        <v>314</v>
      </c>
      <c r="B81" s="12" t="s">
        <v>258</v>
      </c>
      <c r="C81" s="12" t="s">
        <v>259</v>
      </c>
      <c r="D81" s="12" t="s">
        <v>260</v>
      </c>
      <c r="E81" s="12" t="s">
        <v>1867</v>
      </c>
      <c r="F81" s="12" t="s">
        <v>1868</v>
      </c>
      <c r="G81" s="12" t="s">
        <v>1869</v>
      </c>
      <c r="H81" s="12" t="s">
        <v>1537</v>
      </c>
      <c r="I81" s="12" t="s">
        <v>1870</v>
      </c>
      <c r="J81" s="4" t="s">
        <v>55</v>
      </c>
      <c r="K81" s="4" t="s">
        <v>1498</v>
      </c>
      <c r="L81" s="4" t="s">
        <v>1661</v>
      </c>
      <c r="M81" s="4" t="s">
        <v>1500</v>
      </c>
      <c r="N81" s="4"/>
      <c r="O81" s="4"/>
      <c r="P81" s="4"/>
      <c r="Q81" s="2"/>
      <c r="R81" s="2" t="s">
        <v>1110</v>
      </c>
      <c r="S81" s="2" t="str">
        <f t="shared" si="2"/>
        <v>否</v>
      </c>
      <c r="T81" s="11"/>
      <c r="U81" s="10" t="str">
        <f t="shared" si="3"/>
        <v>SYS.ELBhealthCheckRecovery</v>
      </c>
      <c r="V81" s="10" t="b">
        <f>ISNUMBER(MATCH(U81,#REF!,0))</f>
        <v>0</v>
      </c>
    </row>
    <row r="82" spans="1:22" ht="149.5" x14ac:dyDescent="0.25">
      <c r="A82" s="12">
        <v>315</v>
      </c>
      <c r="B82" s="12" t="s">
        <v>1138</v>
      </c>
      <c r="C82" s="12" t="s">
        <v>1139</v>
      </c>
      <c r="D82" s="12" t="s">
        <v>1140</v>
      </c>
      <c r="E82" s="12" t="s">
        <v>1871</v>
      </c>
      <c r="F82" s="12" t="s">
        <v>1872</v>
      </c>
      <c r="G82" s="12" t="s">
        <v>1873</v>
      </c>
      <c r="H82" s="12" t="s">
        <v>1874</v>
      </c>
      <c r="I82" s="12" t="s">
        <v>1875</v>
      </c>
      <c r="J82" s="4" t="s">
        <v>55</v>
      </c>
      <c r="K82" s="4" t="s">
        <v>1498</v>
      </c>
      <c r="L82" s="4" t="s">
        <v>1518</v>
      </c>
      <c r="M82" s="4" t="s">
        <v>1500</v>
      </c>
      <c r="N82" s="4"/>
      <c r="O82" s="4"/>
      <c r="P82" s="4"/>
      <c r="Q82" s="2"/>
      <c r="R82" s="2" t="s">
        <v>1110</v>
      </c>
      <c r="S82" s="2" t="str">
        <f t="shared" si="2"/>
        <v>否</v>
      </c>
      <c r="T82" s="11"/>
      <c r="U82" s="10" t="str">
        <f t="shared" si="3"/>
        <v>SYS.OBSdeleteBucket</v>
      </c>
      <c r="V82" s="10" t="b">
        <f>ISNUMBER(MATCH(U82,#REF!,0))</f>
        <v>0</v>
      </c>
    </row>
    <row r="83" spans="1:22" ht="92" x14ac:dyDescent="0.25">
      <c r="A83" s="12">
        <v>316</v>
      </c>
      <c r="B83" s="12" t="s">
        <v>1138</v>
      </c>
      <c r="C83" s="12" t="s">
        <v>1139</v>
      </c>
      <c r="D83" s="12" t="s">
        <v>1140</v>
      </c>
      <c r="E83" s="12" t="s">
        <v>1876</v>
      </c>
      <c r="F83" s="12" t="s">
        <v>1877</v>
      </c>
      <c r="G83" s="12" t="s">
        <v>1878</v>
      </c>
      <c r="H83" s="12" t="s">
        <v>1879</v>
      </c>
      <c r="I83" s="12" t="s">
        <v>1880</v>
      </c>
      <c r="J83" s="4" t="s">
        <v>55</v>
      </c>
      <c r="K83" s="4" t="s">
        <v>1498</v>
      </c>
      <c r="L83" s="4" t="s">
        <v>1518</v>
      </c>
      <c r="M83" s="4" t="s">
        <v>1500</v>
      </c>
      <c r="N83" s="4"/>
      <c r="O83" s="4"/>
      <c r="P83" s="4"/>
      <c r="Q83" s="2"/>
      <c r="R83" s="2" t="s">
        <v>1110</v>
      </c>
      <c r="S83" s="2" t="str">
        <f t="shared" si="2"/>
        <v>否</v>
      </c>
      <c r="T83" s="11"/>
      <c r="U83" s="10" t="str">
        <f t="shared" si="3"/>
        <v>SYS.OBSdeleteBucketPolicy</v>
      </c>
      <c r="V83" s="10" t="b">
        <f>ISNUMBER(MATCH(U83,#REF!,0))</f>
        <v>0</v>
      </c>
    </row>
    <row r="84" spans="1:22" ht="92" x14ac:dyDescent="0.25">
      <c r="A84" s="12">
        <v>317</v>
      </c>
      <c r="B84" s="12" t="s">
        <v>1138</v>
      </c>
      <c r="C84" s="12" t="s">
        <v>1139</v>
      </c>
      <c r="D84" s="12" t="s">
        <v>1140</v>
      </c>
      <c r="E84" s="12" t="s">
        <v>1881</v>
      </c>
      <c r="F84" s="12" t="s">
        <v>1882</v>
      </c>
      <c r="G84" s="12" t="s">
        <v>1883</v>
      </c>
      <c r="H84" s="12" t="s">
        <v>1884</v>
      </c>
      <c r="I84" s="12" t="s">
        <v>1885</v>
      </c>
      <c r="J84" s="4" t="s">
        <v>55</v>
      </c>
      <c r="K84" s="4" t="s">
        <v>1498</v>
      </c>
      <c r="L84" s="4" t="s">
        <v>1661</v>
      </c>
      <c r="M84" s="4" t="s">
        <v>1500</v>
      </c>
      <c r="N84" s="4"/>
      <c r="O84" s="4"/>
      <c r="P84" s="4"/>
      <c r="Q84" s="2"/>
      <c r="R84" s="2" t="s">
        <v>1110</v>
      </c>
      <c r="S84" s="2" t="str">
        <f t="shared" si="2"/>
        <v>否</v>
      </c>
      <c r="T84" s="11"/>
      <c r="U84" s="10" t="str">
        <f t="shared" si="3"/>
        <v>SYS.OBSsetBucketAcl</v>
      </c>
      <c r="V84" s="10" t="b">
        <f>ISNUMBER(MATCH(U84,#REF!,0))</f>
        <v>0</v>
      </c>
    </row>
    <row r="85" spans="1:22" ht="103.5" x14ac:dyDescent="0.25">
      <c r="A85" s="12">
        <v>318</v>
      </c>
      <c r="B85" s="12" t="s">
        <v>1138</v>
      </c>
      <c r="C85" s="12" t="s">
        <v>1139</v>
      </c>
      <c r="D85" s="12" t="s">
        <v>1140</v>
      </c>
      <c r="E85" s="12" t="s">
        <v>1886</v>
      </c>
      <c r="F85" s="12" t="s">
        <v>1887</v>
      </c>
      <c r="G85" s="12" t="s">
        <v>1888</v>
      </c>
      <c r="H85" s="12" t="s">
        <v>1889</v>
      </c>
      <c r="I85" s="12" t="s">
        <v>1890</v>
      </c>
      <c r="J85" s="4" t="s">
        <v>55</v>
      </c>
      <c r="K85" s="4" t="s">
        <v>1498</v>
      </c>
      <c r="L85" s="4" t="s">
        <v>1661</v>
      </c>
      <c r="M85" s="4" t="s">
        <v>1500</v>
      </c>
      <c r="N85" s="4"/>
      <c r="O85" s="4"/>
      <c r="P85" s="4"/>
      <c r="Q85" s="2"/>
      <c r="R85" s="2" t="s">
        <v>1110</v>
      </c>
      <c r="S85" s="2" t="str">
        <f t="shared" si="2"/>
        <v>否</v>
      </c>
      <c r="T85" s="11"/>
      <c r="U85" s="10" t="str">
        <f t="shared" si="3"/>
        <v>SYS.OBSsetBucketPolicy</v>
      </c>
      <c r="V85" s="10" t="b">
        <f>ISNUMBER(MATCH(U85,#REF!,0))</f>
        <v>0</v>
      </c>
    </row>
    <row r="86" spans="1:22" ht="46" x14ac:dyDescent="0.25">
      <c r="A86" s="2">
        <v>338</v>
      </c>
      <c r="B86" s="2" t="s">
        <v>1135</v>
      </c>
      <c r="C86" s="2" t="s">
        <v>1136</v>
      </c>
      <c r="D86" s="2" t="s">
        <v>1137</v>
      </c>
      <c r="E86" s="2" t="s">
        <v>1891</v>
      </c>
      <c r="F86" s="2" t="s">
        <v>1892</v>
      </c>
      <c r="G86" s="2" t="s">
        <v>1893</v>
      </c>
      <c r="H86" s="2" t="s">
        <v>1894</v>
      </c>
      <c r="I86" s="2" t="s">
        <v>1895</v>
      </c>
      <c r="J86" s="4" t="s">
        <v>55</v>
      </c>
      <c r="K86" s="4" t="s">
        <v>1498</v>
      </c>
      <c r="L86" s="4" t="s">
        <v>1499</v>
      </c>
      <c r="M86" s="4" t="s">
        <v>1500</v>
      </c>
      <c r="N86" s="4"/>
      <c r="O86" s="4"/>
      <c r="P86" s="4"/>
      <c r="Q86" s="2"/>
      <c r="R86" s="2" t="s">
        <v>1110</v>
      </c>
      <c r="S86" s="2" t="str">
        <f t="shared" si="2"/>
        <v>否</v>
      </c>
      <c r="T86" s="11"/>
      <c r="U86" s="10" t="str">
        <f t="shared" si="3"/>
        <v>SYS.CSMSoperateDeletedSecret</v>
      </c>
      <c r="V86" s="10" t="b">
        <f>ISNUMBER(MATCH(U86,#REF!,0))</f>
        <v>0</v>
      </c>
    </row>
    <row r="87" spans="1:22" ht="57.5" x14ac:dyDescent="0.25">
      <c r="A87" s="12">
        <v>353</v>
      </c>
      <c r="B87" s="12" t="s">
        <v>1220</v>
      </c>
      <c r="C87" s="12" t="s">
        <v>1221</v>
      </c>
      <c r="D87" s="12" t="s">
        <v>1222</v>
      </c>
      <c r="E87" s="12" t="s">
        <v>1896</v>
      </c>
      <c r="F87" s="12" t="s">
        <v>1897</v>
      </c>
      <c r="G87" s="12" t="s">
        <v>1896</v>
      </c>
      <c r="H87" s="12" t="s">
        <v>1898</v>
      </c>
      <c r="I87" s="12" t="s">
        <v>1899</v>
      </c>
      <c r="J87" s="4" t="s">
        <v>55</v>
      </c>
      <c r="K87" s="4" t="s">
        <v>1498</v>
      </c>
      <c r="L87" s="4" t="s">
        <v>1499</v>
      </c>
      <c r="M87" s="4" t="s">
        <v>1500</v>
      </c>
      <c r="N87" s="4"/>
      <c r="O87" s="4"/>
      <c r="P87" s="4"/>
      <c r="Q87" s="2"/>
      <c r="R87" s="2" t="s">
        <v>1110</v>
      </c>
      <c r="S87" s="2" t="str">
        <f t="shared" si="2"/>
        <v>否</v>
      </c>
      <c r="T87" s="11"/>
      <c r="U87" s="10" t="str">
        <f t="shared" si="3"/>
        <v>SYS.CBRagentOffline</v>
      </c>
      <c r="V87" s="10" t="b">
        <f>ISNUMBER(MATCH(U87,#REF!,0))</f>
        <v>0</v>
      </c>
    </row>
    <row r="88" spans="1:22" ht="46" x14ac:dyDescent="0.25">
      <c r="A88" s="12">
        <v>354</v>
      </c>
      <c r="B88" s="12" t="s">
        <v>1220</v>
      </c>
      <c r="C88" s="12" t="s">
        <v>1221</v>
      </c>
      <c r="D88" s="12" t="s">
        <v>1222</v>
      </c>
      <c r="E88" s="12" t="s">
        <v>1900</v>
      </c>
      <c r="F88" s="12" t="s">
        <v>1901</v>
      </c>
      <c r="G88" s="12" t="s">
        <v>1900</v>
      </c>
      <c r="H88" s="12" t="s">
        <v>1902</v>
      </c>
      <c r="I88" s="12" t="s">
        <v>1903</v>
      </c>
      <c r="J88" s="4" t="s">
        <v>55</v>
      </c>
      <c r="K88" s="4" t="s">
        <v>1498</v>
      </c>
      <c r="L88" s="4" t="s">
        <v>1499</v>
      </c>
      <c r="M88" s="4" t="s">
        <v>1500</v>
      </c>
      <c r="N88" s="4"/>
      <c r="O88" s="4"/>
      <c r="P88" s="4"/>
      <c r="Q88" s="2"/>
      <c r="R88" s="2" t="s">
        <v>1110</v>
      </c>
      <c r="S88" s="2" t="str">
        <f t="shared" si="2"/>
        <v>否</v>
      </c>
      <c r="T88" s="11"/>
      <c r="U88" s="10" t="str">
        <f t="shared" si="3"/>
        <v>SYS.CBRbackupFailed</v>
      </c>
      <c r="V88" s="10" t="b">
        <f>ISNUMBER(MATCH(U88,#REF!,0))</f>
        <v>0</v>
      </c>
    </row>
    <row r="89" spans="1:22" ht="34.5" x14ac:dyDescent="0.25">
      <c r="A89" s="12">
        <v>362</v>
      </c>
      <c r="B89" s="12" t="s">
        <v>1220</v>
      </c>
      <c r="C89" s="12" t="s">
        <v>1221</v>
      </c>
      <c r="D89" s="12" t="s">
        <v>1222</v>
      </c>
      <c r="E89" s="12" t="s">
        <v>1905</v>
      </c>
      <c r="F89" s="12" t="s">
        <v>1906</v>
      </c>
      <c r="G89" s="12" t="s">
        <v>1907</v>
      </c>
      <c r="H89" s="12" t="s">
        <v>1904</v>
      </c>
      <c r="I89" s="12" t="s">
        <v>1903</v>
      </c>
      <c r="J89" s="4" t="s">
        <v>55</v>
      </c>
      <c r="K89" s="4" t="s">
        <v>1498</v>
      </c>
      <c r="L89" s="4" t="s">
        <v>1518</v>
      </c>
      <c r="M89" s="4" t="s">
        <v>1500</v>
      </c>
      <c r="N89" s="4"/>
      <c r="O89" s="4"/>
      <c r="P89" s="4"/>
      <c r="Q89" s="2"/>
      <c r="R89" s="2" t="s">
        <v>1110</v>
      </c>
      <c r="S89" s="2" t="str">
        <f t="shared" si="2"/>
        <v>否</v>
      </c>
      <c r="T89" s="11"/>
      <c r="U89" s="10" t="str">
        <f t="shared" si="3"/>
        <v>SYS.CBRreplicationFailed</v>
      </c>
      <c r="V89" s="10" t="b">
        <f>ISNUMBER(MATCH(U89,#REF!,0))</f>
        <v>0</v>
      </c>
    </row>
    <row r="90" spans="1:22" ht="92" x14ac:dyDescent="0.25">
      <c r="A90" s="12">
        <v>394</v>
      </c>
      <c r="B90" s="12" t="s">
        <v>1908</v>
      </c>
      <c r="C90" s="12" t="s">
        <v>1909</v>
      </c>
      <c r="D90" s="12" t="s">
        <v>1910</v>
      </c>
      <c r="E90" s="12" t="s">
        <v>1911</v>
      </c>
      <c r="F90" s="12" t="s">
        <v>1912</v>
      </c>
      <c r="G90" s="12" t="s">
        <v>1913</v>
      </c>
      <c r="H90" s="12" t="s">
        <v>1914</v>
      </c>
      <c r="I90" s="12" t="s">
        <v>1915</v>
      </c>
      <c r="J90" s="4" t="s">
        <v>55</v>
      </c>
      <c r="K90" s="4" t="s">
        <v>1498</v>
      </c>
      <c r="L90" s="4" t="s">
        <v>1499</v>
      </c>
      <c r="M90" s="4" t="s">
        <v>1500</v>
      </c>
      <c r="N90" s="4"/>
      <c r="O90" s="4"/>
      <c r="P90" s="4"/>
      <c r="Q90" s="2"/>
      <c r="R90" s="2" t="s">
        <v>1110</v>
      </c>
      <c r="S90" s="2" t="str">
        <f t="shared" si="2"/>
        <v>否</v>
      </c>
      <c r="T90" s="11"/>
      <c r="U90" s="10" t="str">
        <f t="shared" si="3"/>
        <v>SYS.SecMasterengineException</v>
      </c>
      <c r="V90" s="10" t="b">
        <f>ISNUMBER(MATCH(U90,#REF!,0))</f>
        <v>0</v>
      </c>
    </row>
    <row r="91" spans="1:22" ht="57.5" x14ac:dyDescent="0.25">
      <c r="A91" s="12">
        <v>395</v>
      </c>
      <c r="B91" s="12" t="s">
        <v>1908</v>
      </c>
      <c r="C91" s="12" t="s">
        <v>1909</v>
      </c>
      <c r="D91" s="12" t="s">
        <v>1910</v>
      </c>
      <c r="E91" s="12" t="s">
        <v>1916</v>
      </c>
      <c r="F91" s="12" t="s">
        <v>1917</v>
      </c>
      <c r="G91" s="12" t="s">
        <v>1918</v>
      </c>
      <c r="H91" s="12" t="s">
        <v>1919</v>
      </c>
      <c r="I91" s="12" t="s">
        <v>571</v>
      </c>
      <c r="J91" s="4" t="s">
        <v>55</v>
      </c>
      <c r="K91" s="4" t="s">
        <v>1498</v>
      </c>
      <c r="L91" s="4" t="s">
        <v>1518</v>
      </c>
      <c r="M91" s="4" t="s">
        <v>1500</v>
      </c>
      <c r="N91" s="4"/>
      <c r="O91" s="4"/>
      <c r="P91" s="4"/>
      <c r="Q91" s="2"/>
      <c r="R91" s="2" t="s">
        <v>1110</v>
      </c>
      <c r="S91" s="2" t="str">
        <f t="shared" si="2"/>
        <v>否</v>
      </c>
      <c r="T91" s="11"/>
      <c r="U91" s="10" t="str">
        <f t="shared" si="3"/>
        <v>SYS.SecMasterplaybookInstanceExecFailed</v>
      </c>
      <c r="V91" s="10" t="b">
        <f>ISNUMBER(MATCH(U91,#REF!,0))</f>
        <v>0</v>
      </c>
    </row>
    <row r="92" spans="1:22" ht="34.5" x14ac:dyDescent="0.25">
      <c r="A92" s="12">
        <v>413</v>
      </c>
      <c r="B92" s="12" t="s">
        <v>1038</v>
      </c>
      <c r="C92" s="12" t="s">
        <v>1194</v>
      </c>
      <c r="D92" s="12" t="s">
        <v>1040</v>
      </c>
      <c r="E92" s="12" t="s">
        <v>1578</v>
      </c>
      <c r="F92" s="12" t="s">
        <v>1579</v>
      </c>
      <c r="G92" s="12" t="s">
        <v>1774</v>
      </c>
      <c r="H92" s="12" t="s">
        <v>1775</v>
      </c>
      <c r="I92" s="12" t="s">
        <v>1776</v>
      </c>
      <c r="J92" s="4" t="s">
        <v>55</v>
      </c>
      <c r="K92" s="4" t="s">
        <v>1498</v>
      </c>
      <c r="L92" s="4" t="s">
        <v>1499</v>
      </c>
      <c r="M92" s="4" t="s">
        <v>1500</v>
      </c>
      <c r="N92" s="4"/>
      <c r="O92" s="4"/>
      <c r="P92" s="4"/>
      <c r="Q92" s="2"/>
      <c r="R92" s="2" t="s">
        <v>1110</v>
      </c>
      <c r="S92" s="2" t="str">
        <f t="shared" si="2"/>
        <v>否</v>
      </c>
      <c r="T92" s="11"/>
      <c r="U92" s="10" t="str">
        <f t="shared" si="3"/>
        <v>SYS.ECSRoCELinkStatusDown</v>
      </c>
      <c r="V92" s="10" t="b">
        <f>ISNUMBER(MATCH(U92,#REF!,0))</f>
        <v>0</v>
      </c>
    </row>
    <row r="93" spans="1:22" ht="184" x14ac:dyDescent="0.25">
      <c r="A93" s="12">
        <v>428</v>
      </c>
      <c r="B93" s="12" t="s">
        <v>1038</v>
      </c>
      <c r="C93" s="12" t="s">
        <v>1194</v>
      </c>
      <c r="D93" s="12" t="s">
        <v>1040</v>
      </c>
      <c r="E93" s="12" t="s">
        <v>1792</v>
      </c>
      <c r="F93" s="12" t="s">
        <v>1793</v>
      </c>
      <c r="G93" s="12" t="s">
        <v>1794</v>
      </c>
      <c r="H93" s="12" t="s">
        <v>1795</v>
      </c>
      <c r="I93" s="12" t="s">
        <v>1791</v>
      </c>
      <c r="J93" s="4" t="s">
        <v>55</v>
      </c>
      <c r="K93" s="4" t="s">
        <v>1498</v>
      </c>
      <c r="L93" s="4" t="s">
        <v>1518</v>
      </c>
      <c r="M93" s="4" t="s">
        <v>1500</v>
      </c>
      <c r="N93" s="4"/>
      <c r="O93" s="4"/>
      <c r="P93" s="4"/>
      <c r="Q93" s="2"/>
      <c r="R93" s="2" t="s">
        <v>1110</v>
      </c>
      <c r="S93" s="2" t="str">
        <f t="shared" si="2"/>
        <v>否</v>
      </c>
      <c r="T93" s="11"/>
      <c r="U93" s="10" t="str">
        <f t="shared" si="3"/>
        <v>SYS.ECSgpuDRAMUncorrectableEccError</v>
      </c>
      <c r="V93" s="10" t="b">
        <f>ISNUMBER(MATCH(U93,#REF!,0))</f>
        <v>0</v>
      </c>
    </row>
    <row r="94" spans="1:22" ht="46" x14ac:dyDescent="0.25">
      <c r="A94" s="12">
        <v>432</v>
      </c>
      <c r="B94" s="12" t="s">
        <v>1038</v>
      </c>
      <c r="C94" s="12" t="s">
        <v>1194</v>
      </c>
      <c r="D94" s="12" t="s">
        <v>1040</v>
      </c>
      <c r="E94" s="12" t="s">
        <v>1920</v>
      </c>
      <c r="F94" s="12" t="s">
        <v>1921</v>
      </c>
      <c r="G94" s="12" t="s">
        <v>1922</v>
      </c>
      <c r="H94" s="12" t="s">
        <v>1923</v>
      </c>
      <c r="I94" s="12" t="s">
        <v>1924</v>
      </c>
      <c r="J94" s="4" t="s">
        <v>55</v>
      </c>
      <c r="K94" s="4" t="s">
        <v>1498</v>
      </c>
      <c r="L94" s="4" t="s">
        <v>1518</v>
      </c>
      <c r="M94" s="4" t="s">
        <v>1500</v>
      </c>
      <c r="N94" s="4"/>
      <c r="O94" s="4"/>
      <c r="P94" s="4"/>
      <c r="Q94" s="2"/>
      <c r="R94" s="2" t="s">
        <v>1518</v>
      </c>
      <c r="S94" s="2" t="str">
        <f t="shared" si="2"/>
        <v/>
      </c>
      <c r="T94" s="11" t="s">
        <v>302</v>
      </c>
      <c r="U94" s="10" t="str">
        <f t="shared" si="3"/>
        <v>SYS.ECSDAVPSMICardNotFound</v>
      </c>
      <c r="V94" s="10" t="b">
        <f>ISNUMBER(MATCH(U94,#REF!,0))</f>
        <v>0</v>
      </c>
    </row>
    <row r="95" spans="1:22" ht="34.5" x14ac:dyDescent="0.25">
      <c r="A95" s="12">
        <v>433</v>
      </c>
      <c r="B95" s="12" t="s">
        <v>1038</v>
      </c>
      <c r="C95" s="12" t="s">
        <v>1194</v>
      </c>
      <c r="D95" s="12" t="s">
        <v>1040</v>
      </c>
      <c r="E95" s="12" t="s">
        <v>1925</v>
      </c>
      <c r="F95" s="12" t="s">
        <v>1926</v>
      </c>
      <c r="G95" s="12" t="s">
        <v>1927</v>
      </c>
      <c r="H95" s="12" t="s">
        <v>1806</v>
      </c>
      <c r="I95" s="12" t="s">
        <v>1924</v>
      </c>
      <c r="J95" s="4" t="s">
        <v>55</v>
      </c>
      <c r="K95" s="4" t="s">
        <v>1498</v>
      </c>
      <c r="L95" s="4" t="s">
        <v>1518</v>
      </c>
      <c r="M95" s="4" t="s">
        <v>1500</v>
      </c>
      <c r="N95" s="4"/>
      <c r="O95" s="4"/>
      <c r="P95" s="4"/>
      <c r="Q95" s="2"/>
      <c r="R95" s="2" t="s">
        <v>1518</v>
      </c>
      <c r="S95" s="2" t="str">
        <f t="shared" si="2"/>
        <v/>
      </c>
      <c r="T95" s="11" t="s">
        <v>302</v>
      </c>
      <c r="U95" s="10" t="str">
        <f t="shared" si="3"/>
        <v>SYS.ECSDAVPLspciCardNotFound</v>
      </c>
      <c r="V95" s="10" t="b">
        <f>ISNUMBER(MATCH(U95,#REF!,0))</f>
        <v>0</v>
      </c>
    </row>
    <row r="96" spans="1:22" ht="46" x14ac:dyDescent="0.25">
      <c r="A96" s="12">
        <v>435</v>
      </c>
      <c r="B96" s="12" t="s">
        <v>1038</v>
      </c>
      <c r="C96" s="12" t="s">
        <v>1194</v>
      </c>
      <c r="D96" s="12" t="s">
        <v>1040</v>
      </c>
      <c r="E96" s="12" t="s">
        <v>1929</v>
      </c>
      <c r="F96" s="12" t="s">
        <v>1930</v>
      </c>
      <c r="G96" s="12" t="s">
        <v>1931</v>
      </c>
      <c r="H96" s="12" t="s">
        <v>1928</v>
      </c>
      <c r="I96" s="12" t="s">
        <v>1932</v>
      </c>
      <c r="J96" s="4" t="s">
        <v>55</v>
      </c>
      <c r="K96" s="4" t="s">
        <v>1498</v>
      </c>
      <c r="L96" s="4" t="s">
        <v>1518</v>
      </c>
      <c r="M96" s="4" t="s">
        <v>1500</v>
      </c>
      <c r="N96" s="4"/>
      <c r="O96" s="4"/>
      <c r="P96" s="4"/>
      <c r="Q96" s="2"/>
      <c r="R96" s="2" t="s">
        <v>1518</v>
      </c>
      <c r="S96" s="2" t="str">
        <f t="shared" si="2"/>
        <v/>
      </c>
      <c r="T96" s="11" t="s">
        <v>302</v>
      </c>
      <c r="U96" s="10" t="str">
        <f t="shared" si="3"/>
        <v>SYS.ECSTemperatureOverSdLimit</v>
      </c>
      <c r="V96" s="10" t="b">
        <f>ISNUMBER(MATCH(U96,#REF!,0))</f>
        <v>0</v>
      </c>
    </row>
    <row r="97" spans="1:22" ht="57.5" x14ac:dyDescent="0.25">
      <c r="A97" s="12">
        <v>436</v>
      </c>
      <c r="B97" s="12" t="s">
        <v>1038</v>
      </c>
      <c r="C97" s="12" t="s">
        <v>1194</v>
      </c>
      <c r="D97" s="12" t="s">
        <v>1040</v>
      </c>
      <c r="E97" s="12" t="s">
        <v>1933</v>
      </c>
      <c r="F97" s="12" t="s">
        <v>1934</v>
      </c>
      <c r="G97" s="12" t="s">
        <v>1935</v>
      </c>
      <c r="H97" s="12" t="s">
        <v>1936</v>
      </c>
      <c r="I97" s="12" t="s">
        <v>1937</v>
      </c>
      <c r="J97" s="4" t="s">
        <v>55</v>
      </c>
      <c r="K97" s="4" t="s">
        <v>1498</v>
      </c>
      <c r="L97" s="4" t="s">
        <v>1518</v>
      </c>
      <c r="M97" s="4" t="s">
        <v>1500</v>
      </c>
      <c r="N97" s="4"/>
      <c r="O97" s="4"/>
      <c r="P97" s="4"/>
      <c r="Q97" s="2"/>
      <c r="R97" s="2" t="s">
        <v>1518</v>
      </c>
      <c r="S97" s="2" t="str">
        <f t="shared" si="2"/>
        <v/>
      </c>
      <c r="T97" s="11" t="s">
        <v>302</v>
      </c>
      <c r="U97" s="10" t="str">
        <f t="shared" si="3"/>
        <v>SYS.ECSDeviceCoreAbnormal</v>
      </c>
      <c r="V97" s="10" t="b">
        <f>ISNUMBER(MATCH(U97,#REF!,0))</f>
        <v>0</v>
      </c>
    </row>
    <row r="98" spans="1:22" ht="92" x14ac:dyDescent="0.25">
      <c r="A98" s="12">
        <v>454</v>
      </c>
      <c r="B98" s="12" t="s">
        <v>1038</v>
      </c>
      <c r="C98" s="12" t="s">
        <v>1194</v>
      </c>
      <c r="D98" s="12" t="s">
        <v>1040</v>
      </c>
      <c r="E98" s="12" t="s">
        <v>1841</v>
      </c>
      <c r="F98" s="12" t="s">
        <v>1842</v>
      </c>
      <c r="G98" s="12" t="s">
        <v>1843</v>
      </c>
      <c r="H98" s="12" t="s">
        <v>1938</v>
      </c>
      <c r="I98" s="12" t="s">
        <v>1845</v>
      </c>
      <c r="J98" s="4" t="s">
        <v>55</v>
      </c>
      <c r="K98" s="4" t="s">
        <v>1498</v>
      </c>
      <c r="L98" s="4" t="s">
        <v>1518</v>
      </c>
      <c r="M98" s="4" t="s">
        <v>1500</v>
      </c>
      <c r="N98" s="4"/>
      <c r="O98" s="4"/>
      <c r="P98" s="4"/>
      <c r="Q98" s="2"/>
      <c r="R98" s="2" t="s">
        <v>1518</v>
      </c>
      <c r="S98" s="2" t="str">
        <f t="shared" si="2"/>
        <v/>
      </c>
      <c r="T98" s="11"/>
      <c r="U98" s="10" t="str">
        <f t="shared" si="3"/>
        <v>SYS.ECSgpuDriverLinkFailureAlarm</v>
      </c>
      <c r="V98" s="10" t="b">
        <f>ISNUMBER(MATCH(U98,#REF!,0))</f>
        <v>0</v>
      </c>
    </row>
    <row r="99" spans="1:22" ht="57.5" x14ac:dyDescent="0.25">
      <c r="A99" s="12">
        <v>455</v>
      </c>
      <c r="B99" s="12" t="s">
        <v>1038</v>
      </c>
      <c r="C99" s="12" t="s">
        <v>1194</v>
      </c>
      <c r="D99" s="12" t="s">
        <v>1040</v>
      </c>
      <c r="E99" s="12" t="s">
        <v>1846</v>
      </c>
      <c r="F99" s="12" t="s">
        <v>1847</v>
      </c>
      <c r="G99" s="12" t="s">
        <v>1848</v>
      </c>
      <c r="H99" s="12" t="s">
        <v>1808</v>
      </c>
      <c r="I99" s="12" t="s">
        <v>1849</v>
      </c>
      <c r="J99" s="4" t="s">
        <v>55</v>
      </c>
      <c r="K99" s="4" t="s">
        <v>1498</v>
      </c>
      <c r="L99" s="4" t="s">
        <v>1518</v>
      </c>
      <c r="M99" s="4" t="s">
        <v>1500</v>
      </c>
      <c r="N99" s="4"/>
      <c r="O99" s="4"/>
      <c r="P99" s="4"/>
      <c r="Q99" s="2"/>
      <c r="R99" s="2" t="s">
        <v>1518</v>
      </c>
      <c r="S99" s="2" t="str">
        <f t="shared" si="2"/>
        <v/>
      </c>
      <c r="T99" s="11" t="s">
        <v>302</v>
      </c>
      <c r="U99" s="10" t="str">
        <f t="shared" si="3"/>
        <v>SYS.ECSgpuPcieLinkFailureAlarm</v>
      </c>
      <c r="V99" s="10" t="b">
        <f>ISNUMBER(MATCH(U99,#REF!,0))</f>
        <v>0</v>
      </c>
    </row>
    <row r="100" spans="1:22" ht="69" x14ac:dyDescent="0.25">
      <c r="A100" s="12">
        <v>456</v>
      </c>
      <c r="B100" s="12" t="s">
        <v>1038</v>
      </c>
      <c r="C100" s="12" t="s">
        <v>1194</v>
      </c>
      <c r="D100" s="12" t="s">
        <v>1040</v>
      </c>
      <c r="E100" s="12" t="s">
        <v>1850</v>
      </c>
      <c r="F100" s="12" t="s">
        <v>1851</v>
      </c>
      <c r="G100" s="12" t="s">
        <v>1852</v>
      </c>
      <c r="H100" s="12" t="s">
        <v>1808</v>
      </c>
      <c r="I100" s="12" t="s">
        <v>1853</v>
      </c>
      <c r="J100" s="4" t="s">
        <v>55</v>
      </c>
      <c r="K100" s="4" t="s">
        <v>1498</v>
      </c>
      <c r="L100" s="4" t="s">
        <v>1518</v>
      </c>
      <c r="M100" s="4" t="s">
        <v>1500</v>
      </c>
      <c r="N100" s="4"/>
      <c r="O100" s="4"/>
      <c r="P100" s="4"/>
      <c r="Q100" s="2"/>
      <c r="R100" s="2" t="s">
        <v>1518</v>
      </c>
      <c r="S100" s="2" t="str">
        <f t="shared" si="2"/>
        <v/>
      </c>
      <c r="T100" s="11" t="s">
        <v>302</v>
      </c>
      <c r="U100" s="10" t="str">
        <f t="shared" si="3"/>
        <v>SYS.ECSvmLostGpuAlarm</v>
      </c>
      <c r="V100" s="10" t="b">
        <f>ISNUMBER(MATCH(U100,#REF!,0))</f>
        <v>0</v>
      </c>
    </row>
    <row r="101" spans="1:22" ht="138" x14ac:dyDescent="0.25">
      <c r="A101" s="12">
        <v>475</v>
      </c>
      <c r="B101" s="12" t="s">
        <v>1038</v>
      </c>
      <c r="C101" s="12" t="s">
        <v>1194</v>
      </c>
      <c r="D101" s="12" t="s">
        <v>1040</v>
      </c>
      <c r="E101" s="12" t="s">
        <v>1940</v>
      </c>
      <c r="F101" s="12" t="s">
        <v>1941</v>
      </c>
      <c r="G101" s="12" t="s">
        <v>1942</v>
      </c>
      <c r="H101" s="12" t="s">
        <v>1943</v>
      </c>
      <c r="I101" s="12" t="s">
        <v>1944</v>
      </c>
      <c r="J101" s="4" t="s">
        <v>55</v>
      </c>
      <c r="K101" s="4" t="s">
        <v>1498</v>
      </c>
      <c r="L101" s="4" t="s">
        <v>1518</v>
      </c>
      <c r="M101" s="4" t="s">
        <v>1500</v>
      </c>
      <c r="N101" s="4"/>
      <c r="O101" s="4"/>
      <c r="P101" s="4"/>
      <c r="Q101" s="2"/>
      <c r="R101" s="2" t="s">
        <v>1110</v>
      </c>
      <c r="S101" s="2" t="str">
        <f t="shared" si="2"/>
        <v>否</v>
      </c>
      <c r="T101" s="11" t="s">
        <v>302</v>
      </c>
      <c r="U101" s="10" t="str">
        <f t="shared" si="3"/>
        <v>SYS.ECSstartAutoRecovery</v>
      </c>
      <c r="V101" s="10" t="b">
        <f>ISNUMBER(MATCH(U101,#REF!,0))</f>
        <v>0</v>
      </c>
    </row>
    <row r="102" spans="1:22" ht="57.5" x14ac:dyDescent="0.25">
      <c r="A102" s="12">
        <v>476</v>
      </c>
      <c r="B102" s="12" t="s">
        <v>1038</v>
      </c>
      <c r="C102" s="12" t="s">
        <v>1194</v>
      </c>
      <c r="D102" s="12" t="s">
        <v>1040</v>
      </c>
      <c r="E102" s="12" t="s">
        <v>1945</v>
      </c>
      <c r="F102" s="12" t="s">
        <v>1946</v>
      </c>
      <c r="G102" s="12" t="s">
        <v>1947</v>
      </c>
      <c r="H102" s="12" t="s">
        <v>1939</v>
      </c>
      <c r="I102" s="12" t="s">
        <v>1948</v>
      </c>
      <c r="J102" s="4" t="s">
        <v>55</v>
      </c>
      <c r="K102" s="4" t="s">
        <v>1498</v>
      </c>
      <c r="L102" s="4" t="s">
        <v>1661</v>
      </c>
      <c r="M102" s="4" t="s">
        <v>1500</v>
      </c>
      <c r="N102" s="4"/>
      <c r="O102" s="4"/>
      <c r="P102" s="4"/>
      <c r="Q102" s="2"/>
      <c r="R102" s="2" t="s">
        <v>1110</v>
      </c>
      <c r="S102" s="2" t="str">
        <f t="shared" si="2"/>
        <v>否</v>
      </c>
      <c r="T102" s="11"/>
      <c r="U102" s="10" t="str">
        <f t="shared" si="3"/>
        <v>SYS.ECSendAutoRecovery</v>
      </c>
      <c r="V102" s="10" t="b">
        <f>ISNUMBER(MATCH(U102,#REF!,0))</f>
        <v>0</v>
      </c>
    </row>
    <row r="103" spans="1:22" ht="46" x14ac:dyDescent="0.25">
      <c r="A103" s="12">
        <v>477</v>
      </c>
      <c r="B103" s="12" t="s">
        <v>1038</v>
      </c>
      <c r="C103" s="12" t="s">
        <v>1194</v>
      </c>
      <c r="D103" s="12" t="s">
        <v>1040</v>
      </c>
      <c r="E103" s="12" t="s">
        <v>1949</v>
      </c>
      <c r="F103" s="12" t="s">
        <v>1950</v>
      </c>
      <c r="G103" s="12" t="s">
        <v>1951</v>
      </c>
      <c r="H103" s="12" t="s">
        <v>1952</v>
      </c>
      <c r="I103" s="12" t="s">
        <v>1953</v>
      </c>
      <c r="J103" s="4" t="s">
        <v>55</v>
      </c>
      <c r="K103" s="4" t="s">
        <v>1498</v>
      </c>
      <c r="L103" s="4" t="s">
        <v>1518</v>
      </c>
      <c r="M103" s="4" t="s">
        <v>1500</v>
      </c>
      <c r="N103" s="4"/>
      <c r="O103" s="4"/>
      <c r="P103" s="4"/>
      <c r="Q103" s="2"/>
      <c r="R103" s="2" t="s">
        <v>1110</v>
      </c>
      <c r="S103" s="2" t="str">
        <f t="shared" si="2"/>
        <v>否</v>
      </c>
      <c r="T103" s="11"/>
      <c r="U103" s="10" t="str">
        <f t="shared" si="3"/>
        <v>SYS.ECSfaultAutoRecovery</v>
      </c>
      <c r="V103" s="10" t="b">
        <f>ISNUMBER(MATCH(U103,#REF!,0))</f>
        <v>0</v>
      </c>
    </row>
    <row r="104" spans="1:22" ht="103.5" x14ac:dyDescent="0.25">
      <c r="A104" s="12">
        <v>480</v>
      </c>
      <c r="B104" s="12" t="s">
        <v>1038</v>
      </c>
      <c r="C104" s="12" t="s">
        <v>1194</v>
      </c>
      <c r="D104" s="12" t="s">
        <v>1040</v>
      </c>
      <c r="E104" s="12" t="s">
        <v>1954</v>
      </c>
      <c r="F104" s="12" t="s">
        <v>1955</v>
      </c>
      <c r="G104" s="12" t="s">
        <v>1956</v>
      </c>
      <c r="H104" s="12" t="s">
        <v>1957</v>
      </c>
      <c r="I104" s="12" t="s">
        <v>1729</v>
      </c>
      <c r="J104" s="4" t="s">
        <v>55</v>
      </c>
      <c r="K104" s="4" t="s">
        <v>1498</v>
      </c>
      <c r="L104" s="4" t="s">
        <v>1499</v>
      </c>
      <c r="M104" s="4" t="s">
        <v>1500</v>
      </c>
      <c r="N104" s="4"/>
      <c r="O104" s="4"/>
      <c r="P104" s="4"/>
      <c r="Q104" s="2"/>
      <c r="R104" s="2" t="s">
        <v>1110</v>
      </c>
      <c r="S104" s="2" t="str">
        <f t="shared" si="2"/>
        <v>否</v>
      </c>
      <c r="T104" s="11"/>
      <c r="U104" s="10" t="str">
        <f t="shared" si="3"/>
        <v>SYS.ECSFPGALinkFault</v>
      </c>
      <c r="V104" s="10" t="b">
        <f>ISNUMBER(MATCH(U104,#REF!,0))</f>
        <v>0</v>
      </c>
    </row>
    <row r="105" spans="1:22" ht="92" x14ac:dyDescent="0.25">
      <c r="A105" s="12">
        <v>481</v>
      </c>
      <c r="B105" s="12" t="s">
        <v>1038</v>
      </c>
      <c r="C105" s="12" t="s">
        <v>1194</v>
      </c>
      <c r="D105" s="12" t="s">
        <v>1040</v>
      </c>
      <c r="E105" s="12" t="s">
        <v>1958</v>
      </c>
      <c r="F105" s="12" t="s">
        <v>1959</v>
      </c>
      <c r="G105" s="12" t="s">
        <v>1960</v>
      </c>
      <c r="H105" s="12" t="s">
        <v>1961</v>
      </c>
      <c r="I105" s="12" t="s">
        <v>1962</v>
      </c>
      <c r="J105" s="4" t="s">
        <v>55</v>
      </c>
      <c r="K105" s="4" t="s">
        <v>1498</v>
      </c>
      <c r="L105" s="4" t="s">
        <v>1499</v>
      </c>
      <c r="M105" s="4" t="s">
        <v>1500</v>
      </c>
      <c r="N105" s="4"/>
      <c r="O105" s="4"/>
      <c r="P105" s="4"/>
      <c r="Q105" s="2"/>
      <c r="R105" s="2" t="s">
        <v>1110</v>
      </c>
      <c r="S105" s="2" t="str">
        <f t="shared" si="2"/>
        <v>否</v>
      </c>
      <c r="T105" s="11"/>
      <c r="U105" s="10" t="str">
        <f t="shared" si="3"/>
        <v>SYS.ECSVMFaultsByHostProcessExceptions</v>
      </c>
      <c r="V105" s="10" t="b">
        <f>ISNUMBER(MATCH(U105,#REF!,0))</f>
        <v>0</v>
      </c>
    </row>
    <row r="106" spans="1:22" ht="103.5" x14ac:dyDescent="0.25">
      <c r="A106" s="12">
        <v>486</v>
      </c>
      <c r="B106" s="12" t="s">
        <v>1038</v>
      </c>
      <c r="C106" s="12" t="s">
        <v>1194</v>
      </c>
      <c r="D106" s="12" t="s">
        <v>1040</v>
      </c>
      <c r="E106" s="12" t="s">
        <v>1963</v>
      </c>
      <c r="F106" s="12" t="s">
        <v>1964</v>
      </c>
      <c r="G106" s="12" t="s">
        <v>1965</v>
      </c>
      <c r="H106" s="12" t="s">
        <v>1952</v>
      </c>
      <c r="I106" s="12" t="s">
        <v>1966</v>
      </c>
      <c r="J106" s="4" t="s">
        <v>55</v>
      </c>
      <c r="K106" s="4" t="s">
        <v>1498</v>
      </c>
      <c r="L106" s="4" t="s">
        <v>1518</v>
      </c>
      <c r="M106" s="4" t="s">
        <v>1500</v>
      </c>
      <c r="N106" s="4"/>
      <c r="O106" s="4"/>
      <c r="P106" s="4"/>
      <c r="Q106" s="2"/>
      <c r="R106" s="2" t="s">
        <v>1110</v>
      </c>
      <c r="S106" s="2" t="str">
        <f t="shared" si="2"/>
        <v>否</v>
      </c>
      <c r="T106" s="11"/>
      <c r="U106" s="10" t="str">
        <f t="shared" si="3"/>
        <v>SYS.ECShostMayCrash</v>
      </c>
      <c r="V106" s="10" t="b">
        <f>ISNUMBER(MATCH(U106,#REF!,0))</f>
        <v>0</v>
      </c>
    </row>
    <row r="107" spans="1:22" ht="57.5" x14ac:dyDescent="0.25">
      <c r="A107" s="12">
        <v>487</v>
      </c>
      <c r="B107" s="12" t="s">
        <v>1038</v>
      </c>
      <c r="C107" s="12" t="s">
        <v>1194</v>
      </c>
      <c r="D107" s="12" t="s">
        <v>1040</v>
      </c>
      <c r="E107" s="12" t="s">
        <v>1571</v>
      </c>
      <c r="F107" s="12" t="s">
        <v>1816</v>
      </c>
      <c r="G107" s="12" t="s">
        <v>1817</v>
      </c>
      <c r="H107" s="12" t="s">
        <v>1818</v>
      </c>
      <c r="I107" s="12" t="s">
        <v>1819</v>
      </c>
      <c r="J107" s="4" t="s">
        <v>55</v>
      </c>
      <c r="K107" s="4" t="s">
        <v>1498</v>
      </c>
      <c r="L107" s="4" t="s">
        <v>1518</v>
      </c>
      <c r="M107" s="4" t="s">
        <v>1500</v>
      </c>
      <c r="N107" s="4"/>
      <c r="O107" s="4"/>
      <c r="P107" s="4"/>
      <c r="Q107" s="2"/>
      <c r="R107" s="2" t="s">
        <v>1110</v>
      </c>
      <c r="S107" s="2" t="str">
        <f t="shared" si="2"/>
        <v>否</v>
      </c>
      <c r="T107" s="11"/>
      <c r="U107" s="10" t="str">
        <f t="shared" si="3"/>
        <v>SYS.ECSUncorrectableEccErrorCount</v>
      </c>
      <c r="V107" s="10" t="b">
        <f>ISNUMBER(MATCH(U107,#REF!,0))</f>
        <v>0</v>
      </c>
    </row>
    <row r="108" spans="1:22" ht="103.5" x14ac:dyDescent="0.25">
      <c r="A108" s="12">
        <v>569</v>
      </c>
      <c r="B108" s="12" t="s">
        <v>975</v>
      </c>
      <c r="C108" s="12" t="s">
        <v>976</v>
      </c>
      <c r="D108" s="12" t="s">
        <v>965</v>
      </c>
      <c r="E108" s="12" t="s">
        <v>1967</v>
      </c>
      <c r="F108" s="12" t="s">
        <v>1968</v>
      </c>
      <c r="G108" s="12" t="s">
        <v>1969</v>
      </c>
      <c r="H108" s="12" t="s">
        <v>1970</v>
      </c>
      <c r="I108" s="12" t="s">
        <v>1971</v>
      </c>
      <c r="J108" s="4" t="s">
        <v>55</v>
      </c>
      <c r="K108" s="4" t="s">
        <v>1498</v>
      </c>
      <c r="L108" s="14" t="s">
        <v>1499</v>
      </c>
      <c r="M108" s="4" t="s">
        <v>1500</v>
      </c>
      <c r="N108" s="14"/>
      <c r="O108" s="14"/>
      <c r="P108" s="14"/>
      <c r="Q108" s="2"/>
      <c r="R108" s="2" t="s">
        <v>1110</v>
      </c>
      <c r="S108" s="2" t="str">
        <f t="shared" si="2"/>
        <v>否</v>
      </c>
      <c r="T108" s="11"/>
      <c r="U108" s="10" t="str">
        <f t="shared" si="3"/>
        <v>SYS.RDSmysqlConnectionsFull</v>
      </c>
      <c r="V108" s="10" t="b">
        <f>ISNUMBER(MATCH(U108,#REF!,0))</f>
        <v>0</v>
      </c>
    </row>
    <row r="109" spans="1:22" ht="57.5" x14ac:dyDescent="0.25">
      <c r="A109" s="12">
        <v>570</v>
      </c>
      <c r="B109" s="12" t="s">
        <v>975</v>
      </c>
      <c r="C109" s="12" t="s">
        <v>976</v>
      </c>
      <c r="D109" s="12" t="s">
        <v>965</v>
      </c>
      <c r="E109" s="12" t="s">
        <v>1972</v>
      </c>
      <c r="F109" s="12" t="s">
        <v>1973</v>
      </c>
      <c r="G109" s="12" t="s">
        <v>1974</v>
      </c>
      <c r="H109" s="12" t="s">
        <v>1975</v>
      </c>
      <c r="I109" s="12" t="s">
        <v>1976</v>
      </c>
      <c r="J109" s="4" t="s">
        <v>55</v>
      </c>
      <c r="K109" s="4" t="s">
        <v>1498</v>
      </c>
      <c r="L109" s="14" t="s">
        <v>1518</v>
      </c>
      <c r="M109" s="4" t="s">
        <v>1500</v>
      </c>
      <c r="N109" s="14"/>
      <c r="O109" s="14"/>
      <c r="P109" s="14"/>
      <c r="Q109" s="2"/>
      <c r="R109" s="2" t="s">
        <v>1110</v>
      </c>
      <c r="S109" s="2" t="str">
        <f t="shared" si="2"/>
        <v>否</v>
      </c>
      <c r="T109" s="11"/>
      <c r="U109" s="10" t="str">
        <f t="shared" si="3"/>
        <v>SYS.RDSmysqlConnectionsFullRecovered</v>
      </c>
      <c r="V109" s="10" t="b">
        <f>ISNUMBER(MATCH(U109,#REF!,0))</f>
        <v>0</v>
      </c>
    </row>
    <row r="110" spans="1:22" ht="230" x14ac:dyDescent="0.25">
      <c r="A110" s="12">
        <v>571</v>
      </c>
      <c r="B110" s="12" t="s">
        <v>975</v>
      </c>
      <c r="C110" s="12" t="s">
        <v>976</v>
      </c>
      <c r="D110" s="12" t="s">
        <v>965</v>
      </c>
      <c r="E110" s="12" t="s">
        <v>1977</v>
      </c>
      <c r="F110" s="12" t="s">
        <v>1978</v>
      </c>
      <c r="G110" s="12" t="s">
        <v>1979</v>
      </c>
      <c r="H110" s="12" t="s">
        <v>1980</v>
      </c>
      <c r="I110" s="12" t="s">
        <v>1981</v>
      </c>
      <c r="J110" s="4" t="s">
        <v>55</v>
      </c>
      <c r="K110" s="4" t="s">
        <v>1498</v>
      </c>
      <c r="L110" s="14" t="s">
        <v>1499</v>
      </c>
      <c r="M110" s="4" t="s">
        <v>1500</v>
      </c>
      <c r="N110" s="14"/>
      <c r="O110" s="14"/>
      <c r="P110" s="14"/>
      <c r="Q110" s="2"/>
      <c r="R110" s="2" t="s">
        <v>1110</v>
      </c>
      <c r="S110" s="2" t="str">
        <f t="shared" si="2"/>
        <v>否</v>
      </c>
      <c r="T110" s="11"/>
      <c r="U110" s="10" t="str">
        <f t="shared" si="3"/>
        <v>SYS.RDShighLoadInstanceConnectionsAbnormal</v>
      </c>
      <c r="V110" s="10" t="b">
        <f>ISNUMBER(MATCH(U110,#REF!,0))</f>
        <v>0</v>
      </c>
    </row>
    <row r="111" spans="1:22" ht="69" x14ac:dyDescent="0.25">
      <c r="A111" s="12">
        <v>572</v>
      </c>
      <c r="B111" s="12" t="s">
        <v>975</v>
      </c>
      <c r="C111" s="12" t="s">
        <v>976</v>
      </c>
      <c r="D111" s="12" t="s">
        <v>965</v>
      </c>
      <c r="E111" s="12" t="s">
        <v>1982</v>
      </c>
      <c r="F111" s="12" t="s">
        <v>1983</v>
      </c>
      <c r="G111" s="12" t="s">
        <v>1984</v>
      </c>
      <c r="H111" s="12" t="s">
        <v>1985</v>
      </c>
      <c r="I111" s="12" t="s">
        <v>1986</v>
      </c>
      <c r="J111" s="4" t="s">
        <v>55</v>
      </c>
      <c r="K111" s="4" t="s">
        <v>1498</v>
      </c>
      <c r="L111" s="14" t="s">
        <v>1518</v>
      </c>
      <c r="M111" s="4" t="s">
        <v>1500</v>
      </c>
      <c r="N111" s="14"/>
      <c r="O111" s="14"/>
      <c r="P111" s="14"/>
      <c r="Q111" s="2"/>
      <c r="R111" s="2" t="s">
        <v>1110</v>
      </c>
      <c r="S111" s="2" t="str">
        <f t="shared" si="2"/>
        <v>否</v>
      </c>
      <c r="T111" s="11"/>
      <c r="U111" s="10" t="str">
        <f t="shared" si="3"/>
        <v>SYS.RDShighLoadInstanceConnectionsAbnormalRevocered</v>
      </c>
      <c r="V111" s="10" t="b">
        <f>ISNUMBER(MATCH(U111,#REF!,0))</f>
        <v>0</v>
      </c>
    </row>
    <row r="112" spans="1:22" ht="57.5" x14ac:dyDescent="0.25">
      <c r="A112" s="12">
        <v>573</v>
      </c>
      <c r="B112" s="12" t="s">
        <v>975</v>
      </c>
      <c r="C112" s="12" t="s">
        <v>976</v>
      </c>
      <c r="D112" s="12" t="s">
        <v>965</v>
      </c>
      <c r="E112" s="12" t="s">
        <v>1987</v>
      </c>
      <c r="F112" s="12" t="s">
        <v>1988</v>
      </c>
      <c r="G112" s="13" t="s">
        <v>1989</v>
      </c>
      <c r="H112" s="13" t="s">
        <v>1990</v>
      </c>
      <c r="I112" s="13" t="s">
        <v>1991</v>
      </c>
      <c r="J112" s="4" t="s">
        <v>55</v>
      </c>
      <c r="K112" s="4" t="s">
        <v>1498</v>
      </c>
      <c r="L112" s="14" t="s">
        <v>1518</v>
      </c>
      <c r="M112" s="4" t="s">
        <v>1500</v>
      </c>
      <c r="N112" s="14"/>
      <c r="O112" s="14"/>
      <c r="P112" s="14"/>
      <c r="Q112" s="2"/>
      <c r="R112" s="2" t="s">
        <v>1110</v>
      </c>
      <c r="S112" s="2" t="str">
        <f t="shared" si="2"/>
        <v>否</v>
      </c>
      <c r="T112" s="11"/>
      <c r="U112" s="10" t="str">
        <f t="shared" si="3"/>
        <v>SYS.RDSmssqlReplicationError</v>
      </c>
      <c r="V112" s="10" t="b">
        <f>ISNUMBER(MATCH(U112,#REF!,0))</f>
        <v>0</v>
      </c>
    </row>
    <row r="113" spans="1:22" ht="23" x14ac:dyDescent="0.25">
      <c r="A113" s="12">
        <v>574</v>
      </c>
      <c r="B113" s="12" t="s">
        <v>975</v>
      </c>
      <c r="C113" s="12" t="s">
        <v>976</v>
      </c>
      <c r="D113" s="12" t="s">
        <v>965</v>
      </c>
      <c r="E113" s="12" t="s">
        <v>1992</v>
      </c>
      <c r="F113" s="12" t="s">
        <v>1993</v>
      </c>
      <c r="G113" s="12" t="s">
        <v>1992</v>
      </c>
      <c r="H113" s="12" t="s">
        <v>571</v>
      </c>
      <c r="I113" s="12" t="s">
        <v>571</v>
      </c>
      <c r="J113" s="4" t="s">
        <v>55</v>
      </c>
      <c r="K113" s="4" t="s">
        <v>1498</v>
      </c>
      <c r="L113" s="14" t="s">
        <v>1518</v>
      </c>
      <c r="M113" s="4" t="s">
        <v>1500</v>
      </c>
      <c r="N113" s="14"/>
      <c r="O113" s="14"/>
      <c r="P113" s="14"/>
      <c r="Q113" s="2"/>
      <c r="R113" s="2" t="s">
        <v>1110</v>
      </c>
      <c r="S113" s="2" t="str">
        <f t="shared" si="2"/>
        <v>否</v>
      </c>
      <c r="T113" s="11"/>
      <c r="U113" s="10" t="str">
        <f t="shared" si="3"/>
        <v>SYS.RDSresetPassword</v>
      </c>
      <c r="V113" s="10" t="b">
        <f>ISNUMBER(MATCH(U113,#REF!,0))</f>
        <v>0</v>
      </c>
    </row>
    <row r="114" spans="1:22" ht="23" x14ac:dyDescent="0.25">
      <c r="A114" s="12">
        <v>581</v>
      </c>
      <c r="B114" s="12" t="s">
        <v>975</v>
      </c>
      <c r="C114" s="12" t="s">
        <v>976</v>
      </c>
      <c r="D114" s="12" t="s">
        <v>965</v>
      </c>
      <c r="E114" s="12" t="s">
        <v>1994</v>
      </c>
      <c r="F114" s="12" t="s">
        <v>1995</v>
      </c>
      <c r="G114" s="12" t="s">
        <v>1994</v>
      </c>
      <c r="H114" s="12" t="s">
        <v>571</v>
      </c>
      <c r="I114" s="12" t="s">
        <v>571</v>
      </c>
      <c r="J114" s="4" t="s">
        <v>55</v>
      </c>
      <c r="K114" s="4" t="s">
        <v>1498</v>
      </c>
      <c r="L114" s="14" t="s">
        <v>1518</v>
      </c>
      <c r="M114" s="4" t="s">
        <v>1500</v>
      </c>
      <c r="N114" s="14"/>
      <c r="O114" s="14"/>
      <c r="P114" s="14"/>
      <c r="Q114" s="2"/>
      <c r="R114" s="2" t="s">
        <v>1110</v>
      </c>
      <c r="S114" s="2" t="str">
        <f t="shared" si="2"/>
        <v>否</v>
      </c>
      <c r="T114" s="11"/>
      <c r="U114" s="10" t="str">
        <f t="shared" si="3"/>
        <v>SYS.RDSchangeInstancePort</v>
      </c>
      <c r="V114" s="10" t="b">
        <f>ISNUMBER(MATCH(U114,#REF!,0))</f>
        <v>0</v>
      </c>
    </row>
    <row r="115" spans="1:22" ht="126.5" x14ac:dyDescent="0.25">
      <c r="A115" s="12">
        <v>584</v>
      </c>
      <c r="B115" s="12" t="s">
        <v>975</v>
      </c>
      <c r="C115" s="12" t="s">
        <v>976</v>
      </c>
      <c r="D115" s="12" t="s">
        <v>965</v>
      </c>
      <c r="E115" s="12" t="s">
        <v>1673</v>
      </c>
      <c r="F115" s="12" t="s">
        <v>1674</v>
      </c>
      <c r="G115" s="12" t="s">
        <v>1996</v>
      </c>
      <c r="H115" s="12" t="s">
        <v>1997</v>
      </c>
      <c r="I115" s="12" t="s">
        <v>1599</v>
      </c>
      <c r="J115" s="4" t="s">
        <v>55</v>
      </c>
      <c r="K115" s="4" t="s">
        <v>1498</v>
      </c>
      <c r="L115" s="14" t="s">
        <v>1499</v>
      </c>
      <c r="M115" s="4" t="s">
        <v>1500</v>
      </c>
      <c r="N115" s="14"/>
      <c r="O115" s="14"/>
      <c r="P115" s="14"/>
      <c r="Q115" s="2"/>
      <c r="R115" s="2" t="s">
        <v>1110</v>
      </c>
      <c r="S115" s="2" t="str">
        <f t="shared" si="2"/>
        <v>否</v>
      </c>
      <c r="T115" s="11"/>
      <c r="U115" s="10" t="str">
        <f t="shared" si="3"/>
        <v>SYS.RDSactiveStandBySwitchFailed</v>
      </c>
      <c r="V115" s="10" t="b">
        <f>ISNUMBER(MATCH(U115,#REF!,0))</f>
        <v>0</v>
      </c>
    </row>
    <row r="116" spans="1:22" ht="207" x14ac:dyDescent="0.25">
      <c r="A116" s="12">
        <v>585</v>
      </c>
      <c r="B116" s="12" t="s">
        <v>975</v>
      </c>
      <c r="C116" s="12" t="s">
        <v>976</v>
      </c>
      <c r="D116" s="12" t="s">
        <v>965</v>
      </c>
      <c r="E116" s="12" t="s">
        <v>1539</v>
      </c>
      <c r="F116" s="12" t="s">
        <v>1662</v>
      </c>
      <c r="G116" s="12" t="s">
        <v>1998</v>
      </c>
      <c r="H116" s="12" t="s">
        <v>1542</v>
      </c>
      <c r="I116" s="12" t="s">
        <v>1999</v>
      </c>
      <c r="J116" s="4" t="s">
        <v>55</v>
      </c>
      <c r="K116" s="4" t="s">
        <v>1498</v>
      </c>
      <c r="L116" s="14" t="s">
        <v>1518</v>
      </c>
      <c r="M116" s="4" t="s">
        <v>1500</v>
      </c>
      <c r="N116" s="14"/>
      <c r="O116" s="14"/>
      <c r="P116" s="14"/>
      <c r="Q116" s="2"/>
      <c r="R116" s="2" t="s">
        <v>1110</v>
      </c>
      <c r="S116" s="2" t="str">
        <f t="shared" si="2"/>
        <v>否</v>
      </c>
      <c r="T116" s="11"/>
      <c r="U116" s="10" t="str">
        <f t="shared" si="3"/>
        <v>SYS.RDSabnormalReplicationStatus</v>
      </c>
      <c r="V116" s="10" t="b">
        <f>ISNUMBER(MATCH(U116,#REF!,0))</f>
        <v>0</v>
      </c>
    </row>
    <row r="117" spans="1:22" ht="69" x14ac:dyDescent="0.25">
      <c r="A117" s="12">
        <v>586</v>
      </c>
      <c r="B117" s="12" t="s">
        <v>975</v>
      </c>
      <c r="C117" s="12" t="s">
        <v>976</v>
      </c>
      <c r="D117" s="12" t="s">
        <v>965</v>
      </c>
      <c r="E117" s="12" t="s">
        <v>1544</v>
      </c>
      <c r="F117" s="12" t="s">
        <v>1663</v>
      </c>
      <c r="G117" s="12" t="s">
        <v>2000</v>
      </c>
      <c r="H117" s="12" t="s">
        <v>1547</v>
      </c>
      <c r="I117" s="12" t="s">
        <v>1599</v>
      </c>
      <c r="J117" s="4" t="s">
        <v>55</v>
      </c>
      <c r="K117" s="4" t="s">
        <v>1498</v>
      </c>
      <c r="L117" s="14" t="s">
        <v>1518</v>
      </c>
      <c r="M117" s="4" t="s">
        <v>1500</v>
      </c>
      <c r="N117" s="14"/>
      <c r="O117" s="14"/>
      <c r="P117" s="14"/>
      <c r="Q117" s="2"/>
      <c r="R117" s="2" t="s">
        <v>1110</v>
      </c>
      <c r="S117" s="2" t="str">
        <f t="shared" si="2"/>
        <v>否</v>
      </c>
      <c r="T117" s="11"/>
      <c r="U117" s="10" t="str">
        <f t="shared" si="3"/>
        <v>SYS.RDSreplicationStatusRecovered</v>
      </c>
      <c r="V117" s="10" t="b">
        <f>ISNUMBER(MATCH(U117,#REF!,0))</f>
        <v>0</v>
      </c>
    </row>
    <row r="118" spans="1:22" ht="92" x14ac:dyDescent="0.25">
      <c r="A118" s="12">
        <v>587</v>
      </c>
      <c r="B118" s="12" t="s">
        <v>975</v>
      </c>
      <c r="C118" s="12" t="s">
        <v>976</v>
      </c>
      <c r="D118" s="12" t="s">
        <v>965</v>
      </c>
      <c r="E118" s="12" t="s">
        <v>1548</v>
      </c>
      <c r="F118" s="12" t="s">
        <v>1664</v>
      </c>
      <c r="G118" s="12" t="s">
        <v>2001</v>
      </c>
      <c r="H118" s="12" t="s">
        <v>2002</v>
      </c>
      <c r="I118" s="12" t="s">
        <v>1552</v>
      </c>
      <c r="J118" s="4" t="s">
        <v>55</v>
      </c>
      <c r="K118" s="4" t="s">
        <v>1498</v>
      </c>
      <c r="L118" s="14" t="s">
        <v>1499</v>
      </c>
      <c r="M118" s="4" t="s">
        <v>1500</v>
      </c>
      <c r="N118" s="14"/>
      <c r="O118" s="14"/>
      <c r="P118" s="14"/>
      <c r="Q118" s="2"/>
      <c r="R118" s="2" t="s">
        <v>1110</v>
      </c>
      <c r="S118" s="2" t="str">
        <f t="shared" si="2"/>
        <v>否</v>
      </c>
      <c r="T118" s="11"/>
      <c r="U118" s="10" t="str">
        <f t="shared" si="3"/>
        <v>SYS.RDSfaultyDBInstance</v>
      </c>
      <c r="V118" s="10" t="b">
        <f>ISNUMBER(MATCH(U118,#REF!,0))</f>
        <v>0</v>
      </c>
    </row>
    <row r="119" spans="1:22" ht="103.5" x14ac:dyDescent="0.25">
      <c r="A119" s="12">
        <v>588</v>
      </c>
      <c r="B119" s="12" t="s">
        <v>975</v>
      </c>
      <c r="C119" s="12" t="s">
        <v>976</v>
      </c>
      <c r="D119" s="12" t="s">
        <v>965</v>
      </c>
      <c r="E119" s="12" t="s">
        <v>1553</v>
      </c>
      <c r="F119" s="12" t="s">
        <v>1665</v>
      </c>
      <c r="G119" s="12" t="s">
        <v>2003</v>
      </c>
      <c r="H119" s="12" t="s">
        <v>1547</v>
      </c>
      <c r="I119" s="12" t="s">
        <v>1599</v>
      </c>
      <c r="J119" s="4" t="s">
        <v>55</v>
      </c>
      <c r="K119" s="4" t="s">
        <v>1498</v>
      </c>
      <c r="L119" s="14" t="s">
        <v>1518</v>
      </c>
      <c r="M119" s="4" t="s">
        <v>1500</v>
      </c>
      <c r="N119" s="14"/>
      <c r="O119" s="14"/>
      <c r="P119" s="14"/>
      <c r="Q119" s="2"/>
      <c r="R119" s="2" t="s">
        <v>1110</v>
      </c>
      <c r="S119" s="2" t="str">
        <f t="shared" si="2"/>
        <v>否</v>
      </c>
      <c r="T119" s="11"/>
      <c r="U119" s="10" t="str">
        <f t="shared" si="3"/>
        <v>SYS.RDSDBInstanceRecovered</v>
      </c>
      <c r="V119" s="10" t="b">
        <f>ISNUMBER(MATCH(U119,#REF!,0))</f>
        <v>0</v>
      </c>
    </row>
    <row r="120" spans="1:22" ht="69" x14ac:dyDescent="0.25">
      <c r="A120" s="12">
        <v>590</v>
      </c>
      <c r="B120" s="12" t="s">
        <v>975</v>
      </c>
      <c r="C120" s="12" t="s">
        <v>976</v>
      </c>
      <c r="D120" s="12" t="s">
        <v>965</v>
      </c>
      <c r="E120" s="12" t="s">
        <v>1561</v>
      </c>
      <c r="F120" s="12" t="s">
        <v>1672</v>
      </c>
      <c r="G120" s="12" t="s">
        <v>2004</v>
      </c>
      <c r="H120" s="12" t="s">
        <v>571</v>
      </c>
      <c r="I120" s="12" t="s">
        <v>571</v>
      </c>
      <c r="J120" s="4" t="s">
        <v>55</v>
      </c>
      <c r="K120" s="4" t="s">
        <v>1498</v>
      </c>
      <c r="L120" s="14" t="s">
        <v>1499</v>
      </c>
      <c r="M120" s="4" t="s">
        <v>1500</v>
      </c>
      <c r="N120" s="14"/>
      <c r="O120" s="14"/>
      <c r="P120" s="14"/>
      <c r="Q120" s="2"/>
      <c r="R120" s="2" t="s">
        <v>1110</v>
      </c>
      <c r="S120" s="2" t="str">
        <f t="shared" si="2"/>
        <v>否</v>
      </c>
      <c r="T120" s="11"/>
      <c r="U120" s="10" t="str">
        <f t="shared" si="3"/>
        <v>SYS.RDSPrimaryStandbySwitched</v>
      </c>
      <c r="V120" s="10" t="b">
        <f>ISNUMBER(MATCH(U120,#REF!,0))</f>
        <v>0</v>
      </c>
    </row>
    <row r="121" spans="1:22" ht="138" x14ac:dyDescent="0.25">
      <c r="A121" s="12">
        <v>591</v>
      </c>
      <c r="B121" s="12" t="s">
        <v>975</v>
      </c>
      <c r="C121" s="12" t="s">
        <v>976</v>
      </c>
      <c r="D121" s="12" t="s">
        <v>965</v>
      </c>
      <c r="E121" s="12" t="s">
        <v>1666</v>
      </c>
      <c r="F121" s="12" t="s">
        <v>1667</v>
      </c>
      <c r="G121" s="12" t="s">
        <v>2005</v>
      </c>
      <c r="H121" s="12" t="s">
        <v>2006</v>
      </c>
      <c r="I121" s="12" t="s">
        <v>2007</v>
      </c>
      <c r="J121" s="4" t="s">
        <v>55</v>
      </c>
      <c r="K121" s="4" t="s">
        <v>1498</v>
      </c>
      <c r="L121" s="14" t="s">
        <v>1499</v>
      </c>
      <c r="M121" s="4" t="s">
        <v>1500</v>
      </c>
      <c r="N121" s="14"/>
      <c r="O121" s="14"/>
      <c r="P121" s="14"/>
      <c r="Q121" s="2"/>
      <c r="R121" s="2" t="s">
        <v>1110</v>
      </c>
      <c r="S121" s="2" t="str">
        <f t="shared" si="2"/>
        <v>否</v>
      </c>
      <c r="T121" s="11"/>
      <c r="U121" s="10" t="str">
        <f t="shared" si="3"/>
        <v>SYS.RDSDatabaseProcessRestarted</v>
      </c>
      <c r="V121" s="10" t="b">
        <f>ISNUMBER(MATCH(U121,#REF!,0))</f>
        <v>0</v>
      </c>
    </row>
    <row r="122" spans="1:22" ht="69" x14ac:dyDescent="0.25">
      <c r="A122" s="12">
        <v>592</v>
      </c>
      <c r="B122" s="12" t="s">
        <v>975</v>
      </c>
      <c r="C122" s="12" t="s">
        <v>976</v>
      </c>
      <c r="D122" s="12" t="s">
        <v>965</v>
      </c>
      <c r="E122" s="12" t="s">
        <v>1668</v>
      </c>
      <c r="F122" s="12" t="s">
        <v>1669</v>
      </c>
      <c r="G122" s="12" t="s">
        <v>2008</v>
      </c>
      <c r="H122" s="12" t="s">
        <v>2009</v>
      </c>
      <c r="I122" s="12" t="s">
        <v>2010</v>
      </c>
      <c r="J122" s="4" t="s">
        <v>55</v>
      </c>
      <c r="K122" s="4" t="s">
        <v>1498</v>
      </c>
      <c r="L122" s="14" t="s">
        <v>1499</v>
      </c>
      <c r="M122" s="4" t="s">
        <v>1500</v>
      </c>
      <c r="N122" s="14"/>
      <c r="O122" s="14"/>
      <c r="P122" s="14"/>
      <c r="Q122" s="2"/>
      <c r="R122" s="2" t="s">
        <v>1110</v>
      </c>
      <c r="S122" s="2" t="str">
        <f t="shared" si="2"/>
        <v>否</v>
      </c>
      <c r="T122" s="11"/>
      <c r="U122" s="10" t="str">
        <f t="shared" si="3"/>
        <v>SYS.RDSinstanceDiskFull</v>
      </c>
      <c r="V122" s="10" t="b">
        <f>ISNUMBER(MATCH(U122,#REF!,0))</f>
        <v>0</v>
      </c>
    </row>
    <row r="123" spans="1:22" ht="34.5" x14ac:dyDescent="0.25">
      <c r="A123" s="12">
        <v>593</v>
      </c>
      <c r="B123" s="12" t="s">
        <v>975</v>
      </c>
      <c r="C123" s="12" t="s">
        <v>976</v>
      </c>
      <c r="D123" s="12" t="s">
        <v>965</v>
      </c>
      <c r="E123" s="12" t="s">
        <v>1670</v>
      </c>
      <c r="F123" s="12" t="s">
        <v>1671</v>
      </c>
      <c r="G123" s="12" t="s">
        <v>2011</v>
      </c>
      <c r="H123" s="12" t="s">
        <v>1547</v>
      </c>
      <c r="I123" s="12" t="s">
        <v>2012</v>
      </c>
      <c r="J123" s="4" t="s">
        <v>55</v>
      </c>
      <c r="K123" s="4" t="s">
        <v>1498</v>
      </c>
      <c r="L123" s="14" t="s">
        <v>1518</v>
      </c>
      <c r="M123" s="4" t="s">
        <v>1500</v>
      </c>
      <c r="N123" s="14"/>
      <c r="O123" s="14"/>
      <c r="P123" s="14"/>
      <c r="Q123" s="2"/>
      <c r="R123" s="2" t="s">
        <v>1110</v>
      </c>
      <c r="S123" s="2" t="str">
        <f t="shared" si="2"/>
        <v>否</v>
      </c>
      <c r="T123" s="11"/>
      <c r="U123" s="10" t="str">
        <f t="shared" si="3"/>
        <v>SYS.RDSinstanceDiskFullRecovered</v>
      </c>
      <c r="V123" s="10" t="b">
        <f>ISNUMBER(MATCH(U123,#REF!,0))</f>
        <v>0</v>
      </c>
    </row>
    <row r="124" spans="1:22" ht="34.5" x14ac:dyDescent="0.25">
      <c r="A124" s="12">
        <v>631</v>
      </c>
      <c r="B124" s="12" t="s">
        <v>1103</v>
      </c>
      <c r="C124" s="12" t="s">
        <v>1104</v>
      </c>
      <c r="D124" s="13" t="s">
        <v>2019</v>
      </c>
      <c r="E124" s="12" t="s">
        <v>1574</v>
      </c>
      <c r="F124" s="12" t="s">
        <v>1575</v>
      </c>
      <c r="G124" s="12" t="s">
        <v>1768</v>
      </c>
      <c r="H124" s="12" t="s">
        <v>1769</v>
      </c>
      <c r="I124" s="12" t="s">
        <v>1770</v>
      </c>
      <c r="J124" s="4" t="s">
        <v>55</v>
      </c>
      <c r="K124" s="4" t="s">
        <v>1498</v>
      </c>
      <c r="L124" s="4" t="s">
        <v>1499</v>
      </c>
      <c r="M124" s="4" t="s">
        <v>1500</v>
      </c>
      <c r="N124" s="15"/>
      <c r="O124" s="15"/>
      <c r="P124" s="15"/>
      <c r="Q124" s="11"/>
      <c r="R124" s="2" t="s">
        <v>1110</v>
      </c>
      <c r="S124" s="2" t="str">
        <f t="shared" si="2"/>
        <v>否</v>
      </c>
      <c r="T124" s="11"/>
      <c r="U124" s="10" t="str">
        <f t="shared" si="3"/>
        <v>SYS.BMSReadOnlyFileSystem</v>
      </c>
      <c r="V124" s="10" t="b">
        <f>ISNUMBER(MATCH(U124,#REF!,0))</f>
        <v>0</v>
      </c>
    </row>
    <row r="125" spans="1:22" ht="46" x14ac:dyDescent="0.25">
      <c r="A125" s="12">
        <v>632</v>
      </c>
      <c r="B125" s="12" t="s">
        <v>1103</v>
      </c>
      <c r="C125" s="12" t="s">
        <v>1104</v>
      </c>
      <c r="D125" s="13" t="s">
        <v>2019</v>
      </c>
      <c r="E125" s="12" t="s">
        <v>1576</v>
      </c>
      <c r="F125" s="12" t="s">
        <v>1577</v>
      </c>
      <c r="G125" s="12" t="s">
        <v>1771</v>
      </c>
      <c r="H125" s="12" t="s">
        <v>1772</v>
      </c>
      <c r="I125" s="12" t="s">
        <v>1773</v>
      </c>
      <c r="J125" s="4" t="s">
        <v>55</v>
      </c>
      <c r="K125" s="4" t="s">
        <v>1498</v>
      </c>
      <c r="L125" s="4" t="s">
        <v>1518</v>
      </c>
      <c r="M125" s="4" t="s">
        <v>1500</v>
      </c>
      <c r="N125" s="15"/>
      <c r="O125" s="15"/>
      <c r="P125" s="15"/>
      <c r="Q125" s="11"/>
      <c r="R125" s="2" t="s">
        <v>1110</v>
      </c>
      <c r="S125" s="2" t="str">
        <f t="shared" si="2"/>
        <v>否</v>
      </c>
      <c r="T125" s="11"/>
      <c r="U125" s="10" t="str">
        <f t="shared" si="3"/>
        <v>SYS.BMSNpuDriverFirmwareMismatch</v>
      </c>
      <c r="V125" s="10" t="b">
        <f>ISNUMBER(MATCH(U125,#REF!,0))</f>
        <v>0</v>
      </c>
    </row>
    <row r="126" spans="1:22" ht="34.5" x14ac:dyDescent="0.25">
      <c r="A126" s="12">
        <v>634</v>
      </c>
      <c r="B126" s="12" t="s">
        <v>1103</v>
      </c>
      <c r="C126" s="12" t="s">
        <v>1104</v>
      </c>
      <c r="D126" s="13" t="s">
        <v>2019</v>
      </c>
      <c r="E126" s="12" t="s">
        <v>1578</v>
      </c>
      <c r="F126" s="12" t="s">
        <v>1579</v>
      </c>
      <c r="G126" s="12" t="s">
        <v>1774</v>
      </c>
      <c r="H126" s="12" t="s">
        <v>1775</v>
      </c>
      <c r="I126" s="12" t="s">
        <v>1776</v>
      </c>
      <c r="J126" s="4" t="s">
        <v>55</v>
      </c>
      <c r="K126" s="4" t="s">
        <v>1498</v>
      </c>
      <c r="L126" s="4" t="s">
        <v>1499</v>
      </c>
      <c r="M126" s="4" t="s">
        <v>1500</v>
      </c>
      <c r="N126" s="15"/>
      <c r="O126" s="15"/>
      <c r="P126" s="15"/>
      <c r="Q126" s="11"/>
      <c r="R126" s="2" t="s">
        <v>1110</v>
      </c>
      <c r="S126" s="2" t="str">
        <f t="shared" si="2"/>
        <v>否</v>
      </c>
      <c r="T126" s="11"/>
      <c r="U126" s="10" t="str">
        <f t="shared" si="3"/>
        <v>SYS.BMSRoCELinkStatusDown</v>
      </c>
      <c r="V126" s="10" t="b">
        <f>ISNUMBER(MATCH(U126,#REF!,0))</f>
        <v>0</v>
      </c>
    </row>
    <row r="127" spans="1:22" ht="46" x14ac:dyDescent="0.25">
      <c r="A127" s="12">
        <v>635</v>
      </c>
      <c r="B127" s="12" t="s">
        <v>1103</v>
      </c>
      <c r="C127" s="12" t="s">
        <v>1104</v>
      </c>
      <c r="D127" s="13" t="s">
        <v>2019</v>
      </c>
      <c r="E127" s="12" t="s">
        <v>1580</v>
      </c>
      <c r="F127" s="12" t="s">
        <v>1581</v>
      </c>
      <c r="G127" s="12" t="s">
        <v>1777</v>
      </c>
      <c r="H127" s="12" t="s">
        <v>1778</v>
      </c>
      <c r="I127" s="12" t="s">
        <v>1776</v>
      </c>
      <c r="J127" s="4" t="s">
        <v>55</v>
      </c>
      <c r="K127" s="4" t="s">
        <v>1498</v>
      </c>
      <c r="L127" s="4" t="s">
        <v>1499</v>
      </c>
      <c r="M127" s="4" t="s">
        <v>1500</v>
      </c>
      <c r="N127" s="15"/>
      <c r="O127" s="15"/>
      <c r="P127" s="15"/>
      <c r="Q127" s="11"/>
      <c r="R127" s="2" t="s">
        <v>1110</v>
      </c>
      <c r="S127" s="2" t="str">
        <f t="shared" si="2"/>
        <v>否</v>
      </c>
      <c r="T127" s="11"/>
      <c r="U127" s="10" t="str">
        <f t="shared" si="3"/>
        <v>SYS.BMSRoCEHealthStatusError</v>
      </c>
      <c r="V127" s="10" t="b">
        <f>ISNUMBER(MATCH(U127,#REF!,0))</f>
        <v>0</v>
      </c>
    </row>
    <row r="128" spans="1:22" ht="57.5" x14ac:dyDescent="0.25">
      <c r="A128" s="12">
        <v>636</v>
      </c>
      <c r="B128" s="12" t="s">
        <v>1103</v>
      </c>
      <c r="C128" s="12" t="s">
        <v>1104</v>
      </c>
      <c r="D128" s="13" t="s">
        <v>2019</v>
      </c>
      <c r="E128" s="12" t="s">
        <v>1582</v>
      </c>
      <c r="F128" s="12" t="s">
        <v>1583</v>
      </c>
      <c r="G128" s="12" t="s">
        <v>1779</v>
      </c>
      <c r="H128" s="12" t="s">
        <v>1780</v>
      </c>
      <c r="I128" s="12" t="s">
        <v>1781</v>
      </c>
      <c r="J128" s="4" t="s">
        <v>55</v>
      </c>
      <c r="K128" s="4" t="s">
        <v>1498</v>
      </c>
      <c r="L128" s="4" t="s">
        <v>1518</v>
      </c>
      <c r="M128" s="4" t="s">
        <v>1500</v>
      </c>
      <c r="N128" s="15"/>
      <c r="O128" s="15"/>
      <c r="P128" s="15"/>
      <c r="Q128" s="11"/>
      <c r="R128" s="2" t="s">
        <v>1110</v>
      </c>
      <c r="S128" s="2" t="str">
        <f t="shared" si="2"/>
        <v>否</v>
      </c>
      <c r="T128" s="11"/>
      <c r="U128" s="10" t="str">
        <f t="shared" si="3"/>
        <v>SYS.BMSHccnConfNotExisted</v>
      </c>
      <c r="V128" s="10" t="b">
        <f>ISNUMBER(MATCH(U128,#REF!,0))</f>
        <v>0</v>
      </c>
    </row>
    <row r="129" spans="1:22" ht="80.5" x14ac:dyDescent="0.25">
      <c r="A129" s="12">
        <v>638</v>
      </c>
      <c r="B129" s="12" t="s">
        <v>1103</v>
      </c>
      <c r="C129" s="12" t="s">
        <v>1104</v>
      </c>
      <c r="D129" s="13" t="s">
        <v>2019</v>
      </c>
      <c r="E129" s="12" t="s">
        <v>1584</v>
      </c>
      <c r="F129" s="12" t="s">
        <v>1585</v>
      </c>
      <c r="G129" s="12" t="s">
        <v>1782</v>
      </c>
      <c r="H129" s="12" t="s">
        <v>1783</v>
      </c>
      <c r="I129" s="12" t="s">
        <v>1784</v>
      </c>
      <c r="J129" s="4" t="s">
        <v>55</v>
      </c>
      <c r="K129" s="4" t="s">
        <v>1498</v>
      </c>
      <c r="L129" s="4" t="s">
        <v>1518</v>
      </c>
      <c r="M129" s="4" t="s">
        <v>1500</v>
      </c>
      <c r="N129" s="15"/>
      <c r="O129" s="15"/>
      <c r="P129" s="15"/>
      <c r="Q129" s="11"/>
      <c r="R129" s="2" t="s">
        <v>1110</v>
      </c>
      <c r="S129" s="2" t="str">
        <f t="shared" si="2"/>
        <v>否</v>
      </c>
      <c r="T129" s="11"/>
      <c r="U129" s="10" t="str">
        <f t="shared" si="3"/>
        <v>SYS.BMSMountDiskSystem</v>
      </c>
      <c r="V129" s="10" t="b">
        <f>ISNUMBER(MATCH(U129,#REF!,0))</f>
        <v>0</v>
      </c>
    </row>
    <row r="130" spans="1:22" ht="46" x14ac:dyDescent="0.25">
      <c r="A130" s="12">
        <v>640</v>
      </c>
      <c r="B130" s="12" t="s">
        <v>1103</v>
      </c>
      <c r="C130" s="12" t="s">
        <v>1104</v>
      </c>
      <c r="D130" s="13" t="s">
        <v>2019</v>
      </c>
      <c r="E130" s="12" t="s">
        <v>1586</v>
      </c>
      <c r="F130" s="12" t="s">
        <v>1587</v>
      </c>
      <c r="G130" s="12" t="s">
        <v>1785</v>
      </c>
      <c r="H130" s="12" t="s">
        <v>1786</v>
      </c>
      <c r="I130" s="12" t="s">
        <v>1787</v>
      </c>
      <c r="J130" s="4" t="s">
        <v>55</v>
      </c>
      <c r="K130" s="4" t="s">
        <v>1498</v>
      </c>
      <c r="L130" s="4" t="s">
        <v>1518</v>
      </c>
      <c r="M130" s="4" t="s">
        <v>1500</v>
      </c>
      <c r="N130" s="15"/>
      <c r="O130" s="15"/>
      <c r="P130" s="15"/>
      <c r="Q130" s="11"/>
      <c r="R130" s="2" t="s">
        <v>1110</v>
      </c>
      <c r="S130" s="2" t="str">
        <f t="shared" si="2"/>
        <v>否</v>
      </c>
      <c r="T130" s="11"/>
      <c r="U130" s="10" t="str">
        <f t="shared" si="3"/>
        <v>SYS.BMSRoCEUdpConfigError</v>
      </c>
      <c r="V130" s="10" t="b">
        <f>ISNUMBER(MATCH(U130,#REF!,0))</f>
        <v>0</v>
      </c>
    </row>
    <row r="131" spans="1:22" ht="103.5" x14ac:dyDescent="0.25">
      <c r="A131" s="12">
        <v>642</v>
      </c>
      <c r="B131" s="12" t="s">
        <v>1103</v>
      </c>
      <c r="C131" s="12" t="s">
        <v>1104</v>
      </c>
      <c r="D131" s="13" t="s">
        <v>2019</v>
      </c>
      <c r="E131" s="12" t="s">
        <v>1588</v>
      </c>
      <c r="F131" s="12" t="s">
        <v>1589</v>
      </c>
      <c r="G131" s="12" t="s">
        <v>1788</v>
      </c>
      <c r="H131" s="12" t="s">
        <v>1789</v>
      </c>
      <c r="I131" s="12" t="s">
        <v>1790</v>
      </c>
      <c r="J131" s="4" t="s">
        <v>55</v>
      </c>
      <c r="K131" s="4" t="s">
        <v>1498</v>
      </c>
      <c r="L131" s="4" t="s">
        <v>1518</v>
      </c>
      <c r="M131" s="4" t="s">
        <v>1500</v>
      </c>
      <c r="N131" s="15"/>
      <c r="O131" s="15"/>
      <c r="P131" s="15"/>
      <c r="Q131" s="11"/>
      <c r="R131" s="2" t="s">
        <v>1499</v>
      </c>
      <c r="S131" s="2" t="str">
        <f t="shared" ref="S131:S167" si="4">IF(L131=R131,"","否")</f>
        <v>否</v>
      </c>
      <c r="T131" s="11" t="s">
        <v>302</v>
      </c>
      <c r="U131" s="10" t="str">
        <f t="shared" ref="U131:U167" si="5">C131&amp;F131</f>
        <v>SYS.BMSNpuToolsWarning</v>
      </c>
      <c r="V131" s="10" t="b">
        <f>ISNUMBER(MATCH(U131,#REF!,0))</f>
        <v>0</v>
      </c>
    </row>
    <row r="132" spans="1:22" ht="46" x14ac:dyDescent="0.25">
      <c r="A132" s="12">
        <v>668</v>
      </c>
      <c r="B132" s="12" t="s">
        <v>1103</v>
      </c>
      <c r="C132" s="12" t="s">
        <v>1104</v>
      </c>
      <c r="D132" s="13" t="s">
        <v>2019</v>
      </c>
      <c r="E132" s="12" t="s">
        <v>1564</v>
      </c>
      <c r="F132" s="12" t="s">
        <v>1565</v>
      </c>
      <c r="G132" s="12" t="s">
        <v>1810</v>
      </c>
      <c r="H132" s="12" t="s">
        <v>1811</v>
      </c>
      <c r="I132" s="12" t="s">
        <v>1812</v>
      </c>
      <c r="J132" s="4" t="s">
        <v>55</v>
      </c>
      <c r="K132" s="4" t="s">
        <v>1498</v>
      </c>
      <c r="L132" s="4" t="s">
        <v>1499</v>
      </c>
      <c r="M132" s="4" t="s">
        <v>1500</v>
      </c>
      <c r="N132" s="15"/>
      <c r="O132" s="15"/>
      <c r="P132" s="15"/>
      <c r="Q132" s="11"/>
      <c r="R132" s="2" t="s">
        <v>1110</v>
      </c>
      <c r="S132" s="2" t="str">
        <f t="shared" si="4"/>
        <v>否</v>
      </c>
      <c r="T132" s="11" t="s">
        <v>302</v>
      </c>
      <c r="U132" s="10" t="str">
        <f t="shared" si="5"/>
        <v>SYS.BMSNPUSMICardNotFound</v>
      </c>
      <c r="V132" s="10" t="b">
        <f>ISNUMBER(MATCH(U132,#REF!,0))</f>
        <v>0</v>
      </c>
    </row>
    <row r="133" spans="1:22" ht="23" x14ac:dyDescent="0.25">
      <c r="A133" s="12">
        <v>669</v>
      </c>
      <c r="B133" s="12" t="s">
        <v>1103</v>
      </c>
      <c r="C133" s="12" t="s">
        <v>1104</v>
      </c>
      <c r="D133" s="13" t="s">
        <v>2019</v>
      </c>
      <c r="E133" s="12" t="s">
        <v>1567</v>
      </c>
      <c r="F133" s="12" t="s">
        <v>1568</v>
      </c>
      <c r="G133" s="12" t="s">
        <v>1813</v>
      </c>
      <c r="H133" s="12" t="s">
        <v>1814</v>
      </c>
      <c r="I133" s="12" t="s">
        <v>1812</v>
      </c>
      <c r="J133" s="4" t="s">
        <v>55</v>
      </c>
      <c r="K133" s="4" t="s">
        <v>1498</v>
      </c>
      <c r="L133" s="4" t="s">
        <v>1499</v>
      </c>
      <c r="M133" s="4" t="s">
        <v>1500</v>
      </c>
      <c r="N133" s="15"/>
      <c r="O133" s="15"/>
      <c r="P133" s="15"/>
      <c r="Q133" s="11"/>
      <c r="R133" s="2" t="s">
        <v>1499</v>
      </c>
      <c r="S133" s="2" t="str">
        <f t="shared" si="4"/>
        <v/>
      </c>
      <c r="T133" s="11" t="s">
        <v>302</v>
      </c>
      <c r="U133" s="10" t="str">
        <f t="shared" si="5"/>
        <v>SYS.BMSPCIeErrorFound</v>
      </c>
      <c r="V133" s="10" t="b">
        <f>ISNUMBER(MATCH(U133,#REF!,0))</f>
        <v>0</v>
      </c>
    </row>
    <row r="134" spans="1:22" ht="34.5" x14ac:dyDescent="0.25">
      <c r="A134" s="12">
        <v>670</v>
      </c>
      <c r="B134" s="12" t="s">
        <v>1103</v>
      </c>
      <c r="C134" s="12" t="s">
        <v>1104</v>
      </c>
      <c r="D134" s="13" t="s">
        <v>2019</v>
      </c>
      <c r="E134" s="12" t="s">
        <v>1569</v>
      </c>
      <c r="F134" s="12" t="s">
        <v>1570</v>
      </c>
      <c r="G134" s="12" t="s">
        <v>1815</v>
      </c>
      <c r="H134" s="12" t="s">
        <v>1806</v>
      </c>
      <c r="I134" s="12" t="s">
        <v>1812</v>
      </c>
      <c r="J134" s="4" t="s">
        <v>55</v>
      </c>
      <c r="K134" s="4" t="s">
        <v>1498</v>
      </c>
      <c r="L134" s="4" t="s">
        <v>1499</v>
      </c>
      <c r="M134" s="4" t="s">
        <v>1500</v>
      </c>
      <c r="N134" s="15"/>
      <c r="O134" s="15"/>
      <c r="P134" s="15"/>
      <c r="Q134" s="11"/>
      <c r="R134" s="2" t="s">
        <v>1499</v>
      </c>
      <c r="S134" s="2" t="str">
        <f t="shared" si="4"/>
        <v/>
      </c>
      <c r="T134" s="11" t="s">
        <v>302</v>
      </c>
      <c r="U134" s="10" t="str">
        <f t="shared" si="5"/>
        <v>SYS.BMSLspciCardNotFound</v>
      </c>
      <c r="V134" s="10" t="b">
        <f>ISNUMBER(MATCH(U134,#REF!,0))</f>
        <v>0</v>
      </c>
    </row>
    <row r="135" spans="1:22" ht="92" x14ac:dyDescent="0.25">
      <c r="A135" s="12">
        <v>676</v>
      </c>
      <c r="B135" s="12" t="s">
        <v>1103</v>
      </c>
      <c r="C135" s="12" t="s">
        <v>1104</v>
      </c>
      <c r="D135" s="13" t="s">
        <v>2019</v>
      </c>
      <c r="E135" s="12" t="s">
        <v>1572</v>
      </c>
      <c r="F135" s="12" t="s">
        <v>1573</v>
      </c>
      <c r="G135" s="12" t="s">
        <v>1820</v>
      </c>
      <c r="H135" s="12" t="s">
        <v>1821</v>
      </c>
      <c r="I135" s="12" t="s">
        <v>1822</v>
      </c>
      <c r="J135" s="4" t="s">
        <v>55</v>
      </c>
      <c r="K135" s="4" t="s">
        <v>1498</v>
      </c>
      <c r="L135" s="4" t="s">
        <v>1518</v>
      </c>
      <c r="M135" s="4" t="s">
        <v>1500</v>
      </c>
      <c r="N135" s="15"/>
      <c r="O135" s="15"/>
      <c r="P135" s="15"/>
      <c r="Q135" s="11"/>
      <c r="R135" s="2" t="s">
        <v>1499</v>
      </c>
      <c r="S135" s="2" t="str">
        <f t="shared" si="4"/>
        <v>否</v>
      </c>
      <c r="T135" s="11" t="s">
        <v>302</v>
      </c>
      <c r="U135" s="10" t="str">
        <f t="shared" si="5"/>
        <v>SYS.BMSNPUErrorCodeWarning</v>
      </c>
      <c r="V135" s="10" t="b">
        <f>ISNUMBER(MATCH(U135,#REF!,0))</f>
        <v>0</v>
      </c>
    </row>
    <row r="136" spans="1:22" ht="46" x14ac:dyDescent="0.25">
      <c r="A136" s="12">
        <v>703</v>
      </c>
      <c r="B136" s="12" t="s">
        <v>1103</v>
      </c>
      <c r="C136" s="12" t="s">
        <v>1104</v>
      </c>
      <c r="D136" s="13" t="s">
        <v>2019</v>
      </c>
      <c r="E136" s="12" t="s">
        <v>2013</v>
      </c>
      <c r="F136" s="12" t="s">
        <v>2014</v>
      </c>
      <c r="G136" s="13" t="s">
        <v>2020</v>
      </c>
      <c r="H136" s="13" t="s">
        <v>2021</v>
      </c>
      <c r="I136" s="13" t="s">
        <v>1819</v>
      </c>
      <c r="J136" s="4" t="s">
        <v>55</v>
      </c>
      <c r="K136" s="4" t="s">
        <v>1498</v>
      </c>
      <c r="L136" s="4" t="s">
        <v>1499</v>
      </c>
      <c r="M136" s="4" t="s">
        <v>1500</v>
      </c>
      <c r="N136" s="15"/>
      <c r="O136" s="15"/>
      <c r="P136" s="15"/>
      <c r="Q136" s="11"/>
      <c r="R136" s="2" t="s">
        <v>1499</v>
      </c>
      <c r="S136" s="2" t="str">
        <f t="shared" si="4"/>
        <v/>
      </c>
      <c r="T136" s="11" t="s">
        <v>302</v>
      </c>
      <c r="U136" s="10" t="str">
        <f t="shared" si="5"/>
        <v>SYS.BMSNpuL1SwitchPortPartialFunctionFailure</v>
      </c>
      <c r="V136" s="10" t="b">
        <f>ISNUMBER(MATCH(U136,#REF!,0))</f>
        <v>0</v>
      </c>
    </row>
    <row r="137" spans="1:22" ht="69" x14ac:dyDescent="0.25">
      <c r="A137" s="12">
        <v>704</v>
      </c>
      <c r="B137" s="12" t="s">
        <v>1103</v>
      </c>
      <c r="C137" s="12" t="s">
        <v>1104</v>
      </c>
      <c r="D137" s="13" t="s">
        <v>2019</v>
      </c>
      <c r="E137" s="12" t="s">
        <v>2015</v>
      </c>
      <c r="F137" s="12" t="s">
        <v>2016</v>
      </c>
      <c r="G137" s="13" t="s">
        <v>2022</v>
      </c>
      <c r="H137" s="13" t="s">
        <v>2021</v>
      </c>
      <c r="I137" s="13" t="s">
        <v>1767</v>
      </c>
      <c r="J137" s="4" t="s">
        <v>55</v>
      </c>
      <c r="K137" s="4" t="s">
        <v>1498</v>
      </c>
      <c r="L137" s="4" t="s">
        <v>1499</v>
      </c>
      <c r="M137" s="4" t="s">
        <v>1500</v>
      </c>
      <c r="N137" s="15"/>
      <c r="O137" s="15"/>
      <c r="P137" s="15"/>
      <c r="Q137" s="11"/>
      <c r="R137" s="2" t="s">
        <v>1110</v>
      </c>
      <c r="S137" s="2" t="str">
        <f t="shared" si="4"/>
        <v>否</v>
      </c>
      <c r="T137" s="11"/>
      <c r="U137" s="10" t="str">
        <f t="shared" si="5"/>
        <v>SYS.BMSNpuRoceIPAddressMismatch</v>
      </c>
      <c r="V137" s="10" t="b">
        <f>ISNUMBER(MATCH(U137,#REF!,0))</f>
        <v>0</v>
      </c>
    </row>
    <row r="138" spans="1:22" ht="46" x14ac:dyDescent="0.25">
      <c r="A138" s="12">
        <v>705</v>
      </c>
      <c r="B138" s="12" t="s">
        <v>1103</v>
      </c>
      <c r="C138" s="12" t="s">
        <v>1104</v>
      </c>
      <c r="D138" s="13" t="s">
        <v>2019</v>
      </c>
      <c r="E138" s="12" t="s">
        <v>2017</v>
      </c>
      <c r="F138" s="12" t="s">
        <v>2018</v>
      </c>
      <c r="G138" s="13" t="s">
        <v>2023</v>
      </c>
      <c r="H138" s="13" t="s">
        <v>2021</v>
      </c>
      <c r="I138" s="13" t="s">
        <v>1819</v>
      </c>
      <c r="J138" s="4" t="s">
        <v>55</v>
      </c>
      <c r="K138" s="4" t="s">
        <v>1498</v>
      </c>
      <c r="L138" s="4" t="s">
        <v>1499</v>
      </c>
      <c r="M138" s="4" t="s">
        <v>1500</v>
      </c>
      <c r="N138" s="15"/>
      <c r="O138" s="15"/>
      <c r="P138" s="15"/>
      <c r="Q138" s="11"/>
      <c r="R138" s="2" t="s">
        <v>1110</v>
      </c>
      <c r="S138" s="2" t="str">
        <f t="shared" si="4"/>
        <v>否</v>
      </c>
      <c r="T138" s="11"/>
      <c r="U138" s="10" t="str">
        <f t="shared" si="5"/>
        <v>SYS.BMSNpuL1SwitchFault</v>
      </c>
      <c r="V138" s="10" t="b">
        <f>ISNUMBER(MATCH(U138,#REF!,0))</f>
        <v>0</v>
      </c>
    </row>
    <row r="139" spans="1:22" ht="34.5" x14ac:dyDescent="0.25">
      <c r="A139" s="12">
        <v>710</v>
      </c>
      <c r="B139" s="12" t="s">
        <v>1038</v>
      </c>
      <c r="C139" s="12" t="s">
        <v>1194</v>
      </c>
      <c r="D139" s="13" t="s">
        <v>2019</v>
      </c>
      <c r="E139" s="12" t="s">
        <v>1574</v>
      </c>
      <c r="F139" s="12" t="s">
        <v>1575</v>
      </c>
      <c r="G139" s="12" t="s">
        <v>1768</v>
      </c>
      <c r="H139" s="12" t="s">
        <v>1769</v>
      </c>
      <c r="I139" s="12" t="s">
        <v>1770</v>
      </c>
      <c r="J139" s="4" t="s">
        <v>55</v>
      </c>
      <c r="K139" s="4" t="s">
        <v>1498</v>
      </c>
      <c r="L139" s="4" t="s">
        <v>1499</v>
      </c>
      <c r="M139" s="4" t="s">
        <v>1500</v>
      </c>
      <c r="N139" s="4"/>
      <c r="O139" s="4"/>
      <c r="P139" s="4"/>
      <c r="Q139" s="2"/>
      <c r="R139" s="2" t="s">
        <v>1110</v>
      </c>
      <c r="S139" s="2" t="str">
        <f t="shared" si="4"/>
        <v>否</v>
      </c>
      <c r="T139" s="11"/>
      <c r="U139" s="10" t="str">
        <f t="shared" si="5"/>
        <v>SYS.ECSReadOnlyFileSystem</v>
      </c>
      <c r="V139" s="10" t="b">
        <f>ISNUMBER(MATCH(U139,#REF!,0))</f>
        <v>0</v>
      </c>
    </row>
    <row r="140" spans="1:22" ht="46" x14ac:dyDescent="0.25">
      <c r="A140" s="12">
        <v>711</v>
      </c>
      <c r="B140" s="12" t="s">
        <v>1038</v>
      </c>
      <c r="C140" s="12" t="s">
        <v>1194</v>
      </c>
      <c r="D140" s="13" t="s">
        <v>2019</v>
      </c>
      <c r="E140" s="12" t="s">
        <v>1576</v>
      </c>
      <c r="F140" s="12" t="s">
        <v>1577</v>
      </c>
      <c r="G140" s="12" t="s">
        <v>1771</v>
      </c>
      <c r="H140" s="12" t="s">
        <v>1772</v>
      </c>
      <c r="I140" s="12" t="s">
        <v>1773</v>
      </c>
      <c r="J140" s="4" t="s">
        <v>55</v>
      </c>
      <c r="K140" s="4" t="s">
        <v>1498</v>
      </c>
      <c r="L140" s="4" t="s">
        <v>1518</v>
      </c>
      <c r="M140" s="4" t="s">
        <v>1500</v>
      </c>
      <c r="N140" s="4"/>
      <c r="O140" s="4"/>
      <c r="P140" s="4"/>
      <c r="Q140" s="2"/>
      <c r="R140" s="2" t="s">
        <v>1110</v>
      </c>
      <c r="S140" s="2" t="str">
        <f t="shared" si="4"/>
        <v>否</v>
      </c>
      <c r="T140" s="11"/>
      <c r="U140" s="10" t="str">
        <f t="shared" si="5"/>
        <v>SYS.ECSNpuDriverFirmwareMismatch</v>
      </c>
      <c r="V140" s="10" t="b">
        <f>ISNUMBER(MATCH(U140,#REF!,0))</f>
        <v>0</v>
      </c>
    </row>
    <row r="141" spans="1:22" ht="34.5" x14ac:dyDescent="0.25">
      <c r="A141" s="12">
        <v>713</v>
      </c>
      <c r="B141" s="12" t="s">
        <v>1038</v>
      </c>
      <c r="C141" s="12" t="s">
        <v>1194</v>
      </c>
      <c r="D141" s="13" t="s">
        <v>2019</v>
      </c>
      <c r="E141" s="12" t="s">
        <v>1578</v>
      </c>
      <c r="F141" s="12" t="s">
        <v>1579</v>
      </c>
      <c r="G141" s="12" t="s">
        <v>1774</v>
      </c>
      <c r="H141" s="12" t="s">
        <v>1775</v>
      </c>
      <c r="I141" s="12" t="s">
        <v>1776</v>
      </c>
      <c r="J141" s="4" t="s">
        <v>55</v>
      </c>
      <c r="K141" s="4" t="s">
        <v>1498</v>
      </c>
      <c r="L141" s="4" t="s">
        <v>1499</v>
      </c>
      <c r="M141" s="4" t="s">
        <v>1500</v>
      </c>
      <c r="N141" s="4"/>
      <c r="O141" s="4"/>
      <c r="P141" s="4"/>
      <c r="Q141" s="2"/>
      <c r="R141" s="2" t="s">
        <v>1110</v>
      </c>
      <c r="S141" s="2" t="str">
        <f t="shared" si="4"/>
        <v>否</v>
      </c>
      <c r="T141" s="11"/>
      <c r="U141" s="10" t="str">
        <f t="shared" si="5"/>
        <v>SYS.ECSRoCELinkStatusDown</v>
      </c>
      <c r="V141" s="10" t="b">
        <f>ISNUMBER(MATCH(U141,#REF!,0))</f>
        <v>0</v>
      </c>
    </row>
    <row r="142" spans="1:22" ht="46" x14ac:dyDescent="0.25">
      <c r="A142" s="12">
        <v>714</v>
      </c>
      <c r="B142" s="12" t="s">
        <v>1038</v>
      </c>
      <c r="C142" s="12" t="s">
        <v>1194</v>
      </c>
      <c r="D142" s="13" t="s">
        <v>2019</v>
      </c>
      <c r="E142" s="12" t="s">
        <v>1580</v>
      </c>
      <c r="F142" s="12" t="s">
        <v>1581</v>
      </c>
      <c r="G142" s="12" t="s">
        <v>1777</v>
      </c>
      <c r="H142" s="12" t="s">
        <v>1778</v>
      </c>
      <c r="I142" s="12" t="s">
        <v>1776</v>
      </c>
      <c r="J142" s="4" t="s">
        <v>55</v>
      </c>
      <c r="K142" s="4" t="s">
        <v>1498</v>
      </c>
      <c r="L142" s="4" t="s">
        <v>1499</v>
      </c>
      <c r="M142" s="4" t="s">
        <v>1500</v>
      </c>
      <c r="N142" s="4"/>
      <c r="O142" s="4"/>
      <c r="P142" s="4"/>
      <c r="Q142" s="2"/>
      <c r="R142" s="2" t="s">
        <v>1110</v>
      </c>
      <c r="S142" s="2" t="str">
        <f t="shared" si="4"/>
        <v>否</v>
      </c>
      <c r="T142" s="11"/>
      <c r="U142" s="10" t="str">
        <f t="shared" si="5"/>
        <v>SYS.ECSRoCEHealthStatusError</v>
      </c>
      <c r="V142" s="10" t="b">
        <f>ISNUMBER(MATCH(U142,#REF!,0))</f>
        <v>0</v>
      </c>
    </row>
    <row r="143" spans="1:22" ht="57.5" x14ac:dyDescent="0.25">
      <c r="A143" s="12">
        <v>715</v>
      </c>
      <c r="B143" s="12" t="s">
        <v>1038</v>
      </c>
      <c r="C143" s="12" t="s">
        <v>1194</v>
      </c>
      <c r="D143" s="13" t="s">
        <v>2019</v>
      </c>
      <c r="E143" s="12" t="s">
        <v>1582</v>
      </c>
      <c r="F143" s="12" t="s">
        <v>1583</v>
      </c>
      <c r="G143" s="12" t="s">
        <v>1779</v>
      </c>
      <c r="H143" s="12" t="s">
        <v>1780</v>
      </c>
      <c r="I143" s="12" t="s">
        <v>1781</v>
      </c>
      <c r="J143" s="4" t="s">
        <v>55</v>
      </c>
      <c r="K143" s="4" t="s">
        <v>1498</v>
      </c>
      <c r="L143" s="4" t="s">
        <v>1518</v>
      </c>
      <c r="M143" s="4" t="s">
        <v>1500</v>
      </c>
      <c r="N143" s="4"/>
      <c r="O143" s="4"/>
      <c r="P143" s="4"/>
      <c r="Q143" s="2"/>
      <c r="R143" s="2" t="s">
        <v>1110</v>
      </c>
      <c r="S143" s="2" t="str">
        <f t="shared" si="4"/>
        <v>否</v>
      </c>
      <c r="T143" s="11"/>
      <c r="U143" s="10" t="str">
        <f t="shared" si="5"/>
        <v>SYS.ECSHccnConfNotExisted</v>
      </c>
      <c r="V143" s="10" t="b">
        <f>ISNUMBER(MATCH(U143,#REF!,0))</f>
        <v>0</v>
      </c>
    </row>
    <row r="144" spans="1:22" ht="80.5" x14ac:dyDescent="0.25">
      <c r="A144" s="12">
        <v>717</v>
      </c>
      <c r="B144" s="12" t="s">
        <v>1038</v>
      </c>
      <c r="C144" s="12" t="s">
        <v>1194</v>
      </c>
      <c r="D144" s="13" t="s">
        <v>2019</v>
      </c>
      <c r="E144" s="12" t="s">
        <v>1584</v>
      </c>
      <c r="F144" s="12" t="s">
        <v>1585</v>
      </c>
      <c r="G144" s="12" t="s">
        <v>1782</v>
      </c>
      <c r="H144" s="12" t="s">
        <v>1783</v>
      </c>
      <c r="I144" s="12" t="s">
        <v>1784</v>
      </c>
      <c r="J144" s="4" t="s">
        <v>55</v>
      </c>
      <c r="K144" s="4" t="s">
        <v>1498</v>
      </c>
      <c r="L144" s="4" t="s">
        <v>1518</v>
      </c>
      <c r="M144" s="4" t="s">
        <v>1500</v>
      </c>
      <c r="N144" s="4"/>
      <c r="O144" s="4"/>
      <c r="P144" s="4"/>
      <c r="Q144" s="2"/>
      <c r="R144" s="2" t="s">
        <v>1110</v>
      </c>
      <c r="S144" s="2" t="str">
        <f t="shared" si="4"/>
        <v>否</v>
      </c>
      <c r="T144" s="11"/>
      <c r="U144" s="10" t="str">
        <f t="shared" si="5"/>
        <v>SYS.ECSMountDiskSystem</v>
      </c>
      <c r="V144" s="10" t="b">
        <f>ISNUMBER(MATCH(U144,#REF!,0))</f>
        <v>0</v>
      </c>
    </row>
    <row r="145" spans="1:22" ht="46" x14ac:dyDescent="0.25">
      <c r="A145" s="12">
        <v>719</v>
      </c>
      <c r="B145" s="12" t="s">
        <v>1038</v>
      </c>
      <c r="C145" s="12" t="s">
        <v>1194</v>
      </c>
      <c r="D145" s="13" t="s">
        <v>2019</v>
      </c>
      <c r="E145" s="12" t="s">
        <v>1586</v>
      </c>
      <c r="F145" s="12" t="s">
        <v>1587</v>
      </c>
      <c r="G145" s="12" t="s">
        <v>1785</v>
      </c>
      <c r="H145" s="12" t="s">
        <v>1786</v>
      </c>
      <c r="I145" s="12" t="s">
        <v>1787</v>
      </c>
      <c r="J145" s="4" t="s">
        <v>55</v>
      </c>
      <c r="K145" s="4" t="s">
        <v>1498</v>
      </c>
      <c r="L145" s="4" t="s">
        <v>1518</v>
      </c>
      <c r="M145" s="4" t="s">
        <v>1500</v>
      </c>
      <c r="N145" s="4"/>
      <c r="O145" s="4"/>
      <c r="P145" s="4"/>
      <c r="Q145" s="2"/>
      <c r="R145" s="2" t="s">
        <v>1110</v>
      </c>
      <c r="S145" s="2" t="str">
        <f t="shared" si="4"/>
        <v>否</v>
      </c>
      <c r="T145" s="11"/>
      <c r="U145" s="10" t="str">
        <f t="shared" si="5"/>
        <v>SYS.ECSRoCEUdpConfigError</v>
      </c>
      <c r="V145" s="10" t="b">
        <f>ISNUMBER(MATCH(U145,#REF!,0))</f>
        <v>0</v>
      </c>
    </row>
    <row r="146" spans="1:22" ht="103.5" x14ac:dyDescent="0.25">
      <c r="A146" s="12">
        <v>721</v>
      </c>
      <c r="B146" s="12" t="s">
        <v>1038</v>
      </c>
      <c r="C146" s="12" t="s">
        <v>1194</v>
      </c>
      <c r="D146" s="13" t="s">
        <v>2019</v>
      </c>
      <c r="E146" s="12" t="s">
        <v>1588</v>
      </c>
      <c r="F146" s="12" t="s">
        <v>1589</v>
      </c>
      <c r="G146" s="12" t="s">
        <v>1788</v>
      </c>
      <c r="H146" s="12" t="s">
        <v>1789</v>
      </c>
      <c r="I146" s="12" t="s">
        <v>1790</v>
      </c>
      <c r="J146" s="4" t="s">
        <v>55</v>
      </c>
      <c r="K146" s="4" t="s">
        <v>1498</v>
      </c>
      <c r="L146" s="4" t="s">
        <v>1518</v>
      </c>
      <c r="M146" s="4" t="s">
        <v>1500</v>
      </c>
      <c r="N146" s="4"/>
      <c r="O146" s="4"/>
      <c r="P146" s="4"/>
      <c r="Q146" s="2"/>
      <c r="R146" s="2" t="s">
        <v>1499</v>
      </c>
      <c r="S146" s="2" t="str">
        <f t="shared" si="4"/>
        <v>否</v>
      </c>
      <c r="T146" s="11" t="s">
        <v>302</v>
      </c>
      <c r="U146" s="10" t="str">
        <f t="shared" si="5"/>
        <v>SYS.ECSNpuToolsWarning</v>
      </c>
      <c r="V146" s="10" t="b">
        <f>ISNUMBER(MATCH(U146,#REF!,0))</f>
        <v>0</v>
      </c>
    </row>
    <row r="147" spans="1:22" ht="34.5" x14ac:dyDescent="0.25">
      <c r="A147" s="12">
        <v>733</v>
      </c>
      <c r="B147" s="12" t="s">
        <v>1038</v>
      </c>
      <c r="C147" s="12" t="s">
        <v>1194</v>
      </c>
      <c r="D147" s="13" t="s">
        <v>2019</v>
      </c>
      <c r="E147" s="12" t="s">
        <v>1925</v>
      </c>
      <c r="F147" s="12" t="s">
        <v>1926</v>
      </c>
      <c r="G147" s="12" t="s">
        <v>1927</v>
      </c>
      <c r="H147" s="12" t="s">
        <v>1806</v>
      </c>
      <c r="I147" s="12" t="s">
        <v>1924</v>
      </c>
      <c r="J147" s="4" t="s">
        <v>55</v>
      </c>
      <c r="K147" s="4" t="s">
        <v>1498</v>
      </c>
      <c r="L147" s="4" t="s">
        <v>1499</v>
      </c>
      <c r="M147" s="4" t="s">
        <v>1500</v>
      </c>
      <c r="N147" s="4"/>
      <c r="O147" s="4"/>
      <c r="P147" s="4"/>
      <c r="Q147" s="2"/>
      <c r="R147" s="2" t="s">
        <v>1110</v>
      </c>
      <c r="S147" s="2" t="str">
        <f t="shared" si="4"/>
        <v>否</v>
      </c>
      <c r="T147" s="11"/>
      <c r="U147" s="10" t="str">
        <f t="shared" si="5"/>
        <v>SYS.ECSDAVPLspciCardNotFound</v>
      </c>
      <c r="V147" s="10" t="b">
        <f>ISNUMBER(MATCH(U147,#REF!,0))</f>
        <v>0</v>
      </c>
    </row>
    <row r="148" spans="1:22" ht="46" x14ac:dyDescent="0.25">
      <c r="A148" s="12">
        <v>790</v>
      </c>
      <c r="B148" s="12" t="s">
        <v>1038</v>
      </c>
      <c r="C148" s="12" t="s">
        <v>1194</v>
      </c>
      <c r="D148" s="13" t="s">
        <v>2019</v>
      </c>
      <c r="E148" s="12" t="s">
        <v>2013</v>
      </c>
      <c r="F148" s="12" t="s">
        <v>2014</v>
      </c>
      <c r="G148" s="13" t="s">
        <v>2020</v>
      </c>
      <c r="H148" s="13" t="s">
        <v>2021</v>
      </c>
      <c r="I148" s="13" t="s">
        <v>1819</v>
      </c>
      <c r="J148" s="4" t="s">
        <v>55</v>
      </c>
      <c r="K148" s="4" t="s">
        <v>1498</v>
      </c>
      <c r="L148" s="4" t="s">
        <v>1499</v>
      </c>
      <c r="M148" s="4" t="s">
        <v>1500</v>
      </c>
      <c r="N148" s="4"/>
      <c r="O148" s="4"/>
      <c r="P148" s="4"/>
      <c r="Q148" s="2"/>
      <c r="R148" s="2" t="s">
        <v>1110</v>
      </c>
      <c r="S148" s="2" t="str">
        <f t="shared" si="4"/>
        <v>否</v>
      </c>
      <c r="T148" s="11"/>
      <c r="U148" s="10" t="str">
        <f t="shared" si="5"/>
        <v>SYS.ECSNpuL1SwitchPortPartialFunctionFailure</v>
      </c>
      <c r="V148" s="10" t="b">
        <f>ISNUMBER(MATCH(U148,#REF!,0))</f>
        <v>0</v>
      </c>
    </row>
    <row r="149" spans="1:22" ht="46" x14ac:dyDescent="0.25">
      <c r="A149" s="12">
        <v>791</v>
      </c>
      <c r="B149" s="12" t="s">
        <v>1038</v>
      </c>
      <c r="C149" s="12" t="s">
        <v>1194</v>
      </c>
      <c r="D149" s="13" t="s">
        <v>2019</v>
      </c>
      <c r="E149" s="12" t="s">
        <v>2017</v>
      </c>
      <c r="F149" s="12" t="s">
        <v>2018</v>
      </c>
      <c r="G149" s="13" t="s">
        <v>2023</v>
      </c>
      <c r="H149" s="13" t="s">
        <v>2021</v>
      </c>
      <c r="I149" s="13" t="s">
        <v>1819</v>
      </c>
      <c r="J149" s="4" t="s">
        <v>55</v>
      </c>
      <c r="K149" s="4" t="s">
        <v>1498</v>
      </c>
      <c r="L149" s="4" t="s">
        <v>1499</v>
      </c>
      <c r="M149" s="4" t="s">
        <v>1500</v>
      </c>
      <c r="N149" s="4"/>
      <c r="O149" s="4"/>
      <c r="P149" s="4"/>
      <c r="Q149" s="2"/>
      <c r="R149" s="2" t="s">
        <v>1110</v>
      </c>
      <c r="S149" s="2" t="str">
        <f t="shared" si="4"/>
        <v>否</v>
      </c>
      <c r="T149" s="11"/>
      <c r="U149" s="10" t="str">
        <f t="shared" si="5"/>
        <v>SYS.ECSNpuL1SwitchFault</v>
      </c>
      <c r="V149" s="10" t="b">
        <f>ISNUMBER(MATCH(U149,#REF!,0))</f>
        <v>0</v>
      </c>
    </row>
    <row r="150" spans="1:22" ht="69" x14ac:dyDescent="0.25">
      <c r="A150" s="12">
        <v>793</v>
      </c>
      <c r="B150" s="12" t="s">
        <v>1038</v>
      </c>
      <c r="C150" s="12" t="s">
        <v>1194</v>
      </c>
      <c r="D150" s="13" t="s">
        <v>2019</v>
      </c>
      <c r="E150" s="12" t="s">
        <v>2015</v>
      </c>
      <c r="F150" s="12" t="s">
        <v>2016</v>
      </c>
      <c r="G150" s="13" t="s">
        <v>2022</v>
      </c>
      <c r="H150" s="13" t="s">
        <v>2021</v>
      </c>
      <c r="I150" s="13" t="s">
        <v>1767</v>
      </c>
      <c r="J150" s="4" t="s">
        <v>55</v>
      </c>
      <c r="K150" s="4" t="s">
        <v>1498</v>
      </c>
      <c r="L150" s="4" t="s">
        <v>1499</v>
      </c>
      <c r="M150" s="4" t="s">
        <v>1500</v>
      </c>
      <c r="N150" s="4"/>
      <c r="O150" s="4"/>
      <c r="P150" s="4"/>
      <c r="Q150" s="2"/>
      <c r="R150" s="2" t="s">
        <v>1110</v>
      </c>
      <c r="S150" s="2" t="str">
        <f t="shared" si="4"/>
        <v>否</v>
      </c>
      <c r="T150" s="11"/>
      <c r="U150" s="10" t="str">
        <f t="shared" si="5"/>
        <v>SYS.ECSNpuRoceIPAddressMismatch</v>
      </c>
      <c r="V150" s="10" t="b">
        <f>ISNUMBER(MATCH(U150,#REF!,0))</f>
        <v>0</v>
      </c>
    </row>
    <row r="151" spans="1:22" ht="23" x14ac:dyDescent="0.25">
      <c r="A151" s="12">
        <f t="shared" ref="A151:A167" si="6">ROW()-1</f>
        <v>150</v>
      </c>
      <c r="B151" s="12" t="s">
        <v>179</v>
      </c>
      <c r="C151" s="12" t="s">
        <v>180</v>
      </c>
      <c r="D151" s="13" t="s">
        <v>181</v>
      </c>
      <c r="E151" s="12" t="s">
        <v>1699</v>
      </c>
      <c r="F151" s="12" t="s">
        <v>1700</v>
      </c>
      <c r="G151" s="12" t="s">
        <v>1110</v>
      </c>
      <c r="H151" s="12" t="s">
        <v>1110</v>
      </c>
      <c r="I151" s="12" t="s">
        <v>1701</v>
      </c>
      <c r="J151" s="4" t="s">
        <v>55</v>
      </c>
      <c r="K151" s="4" t="s">
        <v>1498</v>
      </c>
      <c r="L151" s="4" t="s">
        <v>1499</v>
      </c>
      <c r="M151" s="4" t="s">
        <v>1500</v>
      </c>
      <c r="N151" s="4"/>
      <c r="O151" s="4"/>
      <c r="P151" s="4"/>
      <c r="Q151" s="2"/>
      <c r="R151" s="2" t="s">
        <v>1110</v>
      </c>
      <c r="S151" s="2" t="str">
        <f t="shared" si="4"/>
        <v>否</v>
      </c>
      <c r="T151" s="11"/>
      <c r="U151" s="10" t="str">
        <f t="shared" si="5"/>
        <v>SYS.NoSQLNodeHaSwitch</v>
      </c>
      <c r="V151" s="10" t="b">
        <f>ISNUMBER(MATCH(U151,#REF!,0))</f>
        <v>0</v>
      </c>
    </row>
    <row r="152" spans="1:22" ht="34.5" x14ac:dyDescent="0.25">
      <c r="A152" s="12">
        <f t="shared" si="6"/>
        <v>151</v>
      </c>
      <c r="B152" s="12" t="s">
        <v>179</v>
      </c>
      <c r="C152" s="12" t="s">
        <v>180</v>
      </c>
      <c r="D152" s="13" t="s">
        <v>181</v>
      </c>
      <c r="E152" s="12" t="s">
        <v>1702</v>
      </c>
      <c r="F152" s="12" t="s">
        <v>1703</v>
      </c>
      <c r="G152" s="12" t="s">
        <v>1110</v>
      </c>
      <c r="H152" s="12" t="s">
        <v>1110</v>
      </c>
      <c r="I152" s="12" t="s">
        <v>1704</v>
      </c>
      <c r="J152" s="4" t="s">
        <v>55</v>
      </c>
      <c r="K152" s="4" t="s">
        <v>1498</v>
      </c>
      <c r="L152" s="4" t="s">
        <v>1499</v>
      </c>
      <c r="M152" s="4" t="s">
        <v>1500</v>
      </c>
      <c r="N152" s="4"/>
      <c r="O152" s="4"/>
      <c r="P152" s="4"/>
      <c r="Q152" s="2"/>
      <c r="R152" s="2" t="s">
        <v>1110</v>
      </c>
      <c r="S152" s="2" t="str">
        <f t="shared" si="4"/>
        <v>否</v>
      </c>
      <c r="T152" s="11"/>
      <c r="U152" s="10" t="str">
        <f t="shared" si="5"/>
        <v>SYS.NoSQLInfluxDBConnectionFull</v>
      </c>
      <c r="V152" s="10" t="b">
        <f>ISNUMBER(MATCH(U152,#REF!,0))</f>
        <v>0</v>
      </c>
    </row>
    <row r="153" spans="1:22" ht="126.5" x14ac:dyDescent="0.25">
      <c r="A153" s="12">
        <f t="shared" si="6"/>
        <v>152</v>
      </c>
      <c r="B153" s="12" t="s">
        <v>179</v>
      </c>
      <c r="C153" s="12" t="s">
        <v>180</v>
      </c>
      <c r="D153" s="13" t="s">
        <v>181</v>
      </c>
      <c r="E153" s="12" t="s">
        <v>1705</v>
      </c>
      <c r="F153" s="12" t="s">
        <v>1706</v>
      </c>
      <c r="G153" s="12" t="s">
        <v>1707</v>
      </c>
      <c r="H153" s="12" t="s">
        <v>1708</v>
      </c>
      <c r="I153" s="12" t="s">
        <v>1709</v>
      </c>
      <c r="J153" s="4" t="s">
        <v>55</v>
      </c>
      <c r="K153" s="4" t="s">
        <v>1498</v>
      </c>
      <c r="L153" s="4" t="s">
        <v>1518</v>
      </c>
      <c r="M153" s="4" t="s">
        <v>1500</v>
      </c>
      <c r="N153" s="4"/>
      <c r="O153" s="4"/>
      <c r="P153" s="4"/>
      <c r="Q153" s="2"/>
      <c r="R153" s="2" t="s">
        <v>1110</v>
      </c>
      <c r="S153" s="2" t="str">
        <f t="shared" si="4"/>
        <v>否</v>
      </c>
      <c r="T153" s="11"/>
      <c r="U153" s="10" t="str">
        <f t="shared" si="5"/>
        <v>SYS.NoSQLTooLargeCollectionColumn</v>
      </c>
      <c r="V153" s="10" t="b">
        <f>ISNUMBER(MATCH(U153,#REF!,0))</f>
        <v>0</v>
      </c>
    </row>
    <row r="154" spans="1:22" ht="57.5" x14ac:dyDescent="0.25">
      <c r="A154" s="12">
        <f t="shared" si="6"/>
        <v>153</v>
      </c>
      <c r="B154" s="12" t="s">
        <v>179</v>
      </c>
      <c r="C154" s="12" t="s">
        <v>180</v>
      </c>
      <c r="D154" s="13" t="s">
        <v>181</v>
      </c>
      <c r="E154" s="12" t="s">
        <v>1710</v>
      </c>
      <c r="F154" s="12" t="s">
        <v>1711</v>
      </c>
      <c r="G154" s="12" t="s">
        <v>1712</v>
      </c>
      <c r="H154" s="12" t="s">
        <v>1713</v>
      </c>
      <c r="I154" s="12" t="s">
        <v>1714</v>
      </c>
      <c r="J154" s="4" t="s">
        <v>55</v>
      </c>
      <c r="K154" s="4" t="s">
        <v>1498</v>
      </c>
      <c r="L154" s="4" t="s">
        <v>1518</v>
      </c>
      <c r="M154" s="4" t="s">
        <v>1500</v>
      </c>
      <c r="N154" s="14"/>
      <c r="O154" s="14"/>
      <c r="P154" s="14"/>
      <c r="Q154" s="2"/>
      <c r="R154" s="2" t="s">
        <v>1110</v>
      </c>
      <c r="S154" s="2" t="str">
        <f t="shared" si="4"/>
        <v>否</v>
      </c>
      <c r="T154" s="11"/>
      <c r="U154" s="10" t="str">
        <f t="shared" si="5"/>
        <v>SYS.NoSQLTooManyQueryTombstones</v>
      </c>
      <c r="V154" s="10" t="b">
        <f>ISNUMBER(MATCH(U154,#REF!,0))</f>
        <v>0</v>
      </c>
    </row>
    <row r="155" spans="1:22" ht="69" x14ac:dyDescent="0.25">
      <c r="A155" s="12">
        <f t="shared" si="6"/>
        <v>154</v>
      </c>
      <c r="B155" s="12" t="s">
        <v>179</v>
      </c>
      <c r="C155" s="12" t="s">
        <v>180</v>
      </c>
      <c r="D155" s="13" t="s">
        <v>181</v>
      </c>
      <c r="E155" s="12" t="s">
        <v>1529</v>
      </c>
      <c r="F155" s="12" t="s">
        <v>1715</v>
      </c>
      <c r="G155" s="12" t="s">
        <v>1531</v>
      </c>
      <c r="H155" s="12" t="s">
        <v>1716</v>
      </c>
      <c r="I155" s="12" t="s">
        <v>1533</v>
      </c>
      <c r="J155" s="4" t="s">
        <v>55</v>
      </c>
      <c r="K155" s="4" t="s">
        <v>1498</v>
      </c>
      <c r="L155" s="4" t="s">
        <v>1499</v>
      </c>
      <c r="M155" s="4" t="s">
        <v>1500</v>
      </c>
      <c r="N155" s="4"/>
      <c r="O155" s="4"/>
      <c r="P155" s="4"/>
      <c r="Q155" s="2"/>
      <c r="R155" s="2" t="s">
        <v>1499</v>
      </c>
      <c r="S155" s="2" t="str">
        <f t="shared" si="4"/>
        <v/>
      </c>
      <c r="T155" s="11"/>
      <c r="U155" s="10" t="str">
        <f t="shared" si="5"/>
        <v>SYS.NoSQLNoSQLRiskyDataDiskUsage</v>
      </c>
      <c r="V155" s="10" t="b">
        <f>ISNUMBER(MATCH(U155,#REF!,0))</f>
        <v>0</v>
      </c>
    </row>
    <row r="156" spans="1:22" ht="46" x14ac:dyDescent="0.25">
      <c r="A156" s="12">
        <f t="shared" si="6"/>
        <v>155</v>
      </c>
      <c r="B156" s="12" t="s">
        <v>179</v>
      </c>
      <c r="C156" s="12" t="s">
        <v>180</v>
      </c>
      <c r="D156" s="13" t="s">
        <v>181</v>
      </c>
      <c r="E156" s="12" t="s">
        <v>1534</v>
      </c>
      <c r="F156" s="12" t="s">
        <v>1717</v>
      </c>
      <c r="G156" s="12" t="s">
        <v>1536</v>
      </c>
      <c r="H156" s="12" t="s">
        <v>1537</v>
      </c>
      <c r="I156" s="12" t="s">
        <v>571</v>
      </c>
      <c r="J156" s="4" t="s">
        <v>55</v>
      </c>
      <c r="K156" s="4" t="s">
        <v>1498</v>
      </c>
      <c r="L156" s="4" t="s">
        <v>1518</v>
      </c>
      <c r="M156" s="4" t="s">
        <v>1500</v>
      </c>
      <c r="N156" s="14"/>
      <c r="O156" s="14"/>
      <c r="P156" s="14"/>
      <c r="Q156" s="2"/>
      <c r="R156" s="2" t="s">
        <v>1499</v>
      </c>
      <c r="S156" s="2" t="str">
        <f t="shared" si="4"/>
        <v>否</v>
      </c>
      <c r="T156" s="11"/>
      <c r="U156" s="10" t="str">
        <f t="shared" si="5"/>
        <v>SYS.NoSQLNoSQLDataDiskUsageRecovered</v>
      </c>
      <c r="V156" s="10" t="b">
        <f>ISNUMBER(MATCH(U156,#REF!,0))</f>
        <v>0</v>
      </c>
    </row>
    <row r="157" spans="1:22" ht="92" x14ac:dyDescent="0.25">
      <c r="A157" s="12">
        <f t="shared" si="6"/>
        <v>156</v>
      </c>
      <c r="B157" s="12" t="s">
        <v>179</v>
      </c>
      <c r="C157" s="12" t="s">
        <v>180</v>
      </c>
      <c r="D157" s="13" t="s">
        <v>181</v>
      </c>
      <c r="E157" s="12" t="s">
        <v>1548</v>
      </c>
      <c r="F157" s="12" t="s">
        <v>1718</v>
      </c>
      <c r="G157" s="12" t="s">
        <v>1550</v>
      </c>
      <c r="H157" s="12" t="s">
        <v>1719</v>
      </c>
      <c r="I157" s="12" t="s">
        <v>1552</v>
      </c>
      <c r="J157" s="4" t="s">
        <v>55</v>
      </c>
      <c r="K157" s="4" t="s">
        <v>1498</v>
      </c>
      <c r="L157" s="4" t="s">
        <v>1499</v>
      </c>
      <c r="M157" s="4" t="s">
        <v>1500</v>
      </c>
      <c r="N157" s="4"/>
      <c r="O157" s="4"/>
      <c r="P157" s="4"/>
      <c r="Q157" s="2"/>
      <c r="R157" s="2" t="s">
        <v>1499</v>
      </c>
      <c r="S157" s="2" t="str">
        <f t="shared" si="4"/>
        <v/>
      </c>
      <c r="T157" s="11"/>
      <c r="U157" s="10" t="str">
        <f t="shared" si="5"/>
        <v>SYS.NoSQLNoSQLFaultyDBInstance</v>
      </c>
      <c r="V157" s="10" t="b">
        <f>ISNUMBER(MATCH(U157,#REF!,0))</f>
        <v>0</v>
      </c>
    </row>
    <row r="158" spans="1:22" ht="103.5" x14ac:dyDescent="0.25">
      <c r="A158" s="12">
        <f t="shared" si="6"/>
        <v>157</v>
      </c>
      <c r="B158" s="12" t="s">
        <v>179</v>
      </c>
      <c r="C158" s="12" t="s">
        <v>180</v>
      </c>
      <c r="D158" s="13" t="s">
        <v>181</v>
      </c>
      <c r="E158" s="12" t="s">
        <v>1553</v>
      </c>
      <c r="F158" s="12" t="s">
        <v>1720</v>
      </c>
      <c r="G158" s="12" t="s">
        <v>1721</v>
      </c>
      <c r="H158" s="12" t="s">
        <v>1547</v>
      </c>
      <c r="I158" s="12" t="s">
        <v>571</v>
      </c>
      <c r="J158" s="4" t="s">
        <v>55</v>
      </c>
      <c r="K158" s="4" t="s">
        <v>1498</v>
      </c>
      <c r="L158" s="4" t="s">
        <v>1518</v>
      </c>
      <c r="M158" s="4" t="s">
        <v>1500</v>
      </c>
      <c r="N158" s="14"/>
      <c r="O158" s="14"/>
      <c r="P158" s="14"/>
      <c r="Q158" s="2"/>
      <c r="R158" s="2" t="s">
        <v>1499</v>
      </c>
      <c r="S158" s="2" t="str">
        <f t="shared" si="4"/>
        <v>否</v>
      </c>
      <c r="T158" s="11"/>
      <c r="U158" s="10" t="str">
        <f t="shared" si="5"/>
        <v>SYS.NoSQLNoSQLDBInstanceRecovered</v>
      </c>
      <c r="V158" s="10" t="b">
        <f>ISNUMBER(MATCH(U158,#REF!,0))</f>
        <v>0</v>
      </c>
    </row>
    <row r="159" spans="1:22" ht="115" x14ac:dyDescent="0.25">
      <c r="A159" s="12">
        <f t="shared" si="6"/>
        <v>158</v>
      </c>
      <c r="B159" s="12" t="s">
        <v>179</v>
      </c>
      <c r="C159" s="12" t="s">
        <v>180</v>
      </c>
      <c r="D159" s="13" t="s">
        <v>181</v>
      </c>
      <c r="E159" s="12" t="s">
        <v>1556</v>
      </c>
      <c r="F159" s="12" t="s">
        <v>1722</v>
      </c>
      <c r="G159" s="12" t="s">
        <v>1558</v>
      </c>
      <c r="H159" s="12" t="s">
        <v>1723</v>
      </c>
      <c r="I159" s="12" t="s">
        <v>1552</v>
      </c>
      <c r="J159" s="4" t="s">
        <v>55</v>
      </c>
      <c r="K159" s="4" t="s">
        <v>1498</v>
      </c>
      <c r="L159" s="4" t="s">
        <v>1499</v>
      </c>
      <c r="M159" s="4" t="s">
        <v>1500</v>
      </c>
      <c r="N159" s="4"/>
      <c r="O159" s="4"/>
      <c r="P159" s="4"/>
      <c r="Q159" s="2"/>
      <c r="R159" s="2" t="s">
        <v>1499</v>
      </c>
      <c r="S159" s="2" t="str">
        <f t="shared" si="4"/>
        <v/>
      </c>
      <c r="T159" s="11"/>
      <c r="U159" s="10" t="str">
        <f t="shared" si="5"/>
        <v>SYS.NoSQLNoSQLFaultyDBNode</v>
      </c>
      <c r="V159" s="10" t="b">
        <f>ISNUMBER(MATCH(U159,#REF!,0))</f>
        <v>0</v>
      </c>
    </row>
    <row r="160" spans="1:22" ht="103.5" x14ac:dyDescent="0.25">
      <c r="A160" s="12">
        <f t="shared" si="6"/>
        <v>159</v>
      </c>
      <c r="B160" s="12" t="s">
        <v>179</v>
      </c>
      <c r="C160" s="12" t="s">
        <v>180</v>
      </c>
      <c r="D160" s="13" t="s">
        <v>181</v>
      </c>
      <c r="E160" s="12" t="s">
        <v>1559</v>
      </c>
      <c r="F160" s="12" t="s">
        <v>1724</v>
      </c>
      <c r="G160" s="12" t="s">
        <v>1721</v>
      </c>
      <c r="H160" s="12" t="s">
        <v>1547</v>
      </c>
      <c r="I160" s="12" t="s">
        <v>571</v>
      </c>
      <c r="J160" s="4" t="s">
        <v>55</v>
      </c>
      <c r="K160" s="4" t="s">
        <v>1498</v>
      </c>
      <c r="L160" s="4" t="s">
        <v>1518</v>
      </c>
      <c r="M160" s="4" t="s">
        <v>1500</v>
      </c>
      <c r="N160" s="14"/>
      <c r="O160" s="14"/>
      <c r="P160" s="14"/>
      <c r="Q160" s="2"/>
      <c r="R160" s="2" t="s">
        <v>1499</v>
      </c>
      <c r="S160" s="2" t="str">
        <f t="shared" si="4"/>
        <v>否</v>
      </c>
      <c r="T160" s="11"/>
      <c r="U160" s="10" t="str">
        <f t="shared" si="5"/>
        <v>SYS.NoSQLNoSQLDBNodeRecovered</v>
      </c>
      <c r="V160" s="10" t="b">
        <f>ISNUMBER(MATCH(U160,#REF!,0))</f>
        <v>0</v>
      </c>
    </row>
    <row r="161" spans="1:22" ht="80.5" x14ac:dyDescent="0.25">
      <c r="A161" s="12">
        <f t="shared" si="6"/>
        <v>160</v>
      </c>
      <c r="B161" s="12" t="s">
        <v>179</v>
      </c>
      <c r="C161" s="12" t="s">
        <v>180</v>
      </c>
      <c r="D161" s="13" t="s">
        <v>181</v>
      </c>
      <c r="E161" s="12" t="s">
        <v>1561</v>
      </c>
      <c r="F161" s="12" t="s">
        <v>1725</v>
      </c>
      <c r="G161" s="12" t="s">
        <v>1563</v>
      </c>
      <c r="H161" s="12" t="s">
        <v>1547</v>
      </c>
      <c r="I161" s="12" t="s">
        <v>571</v>
      </c>
      <c r="J161" s="4" t="s">
        <v>55</v>
      </c>
      <c r="K161" s="4" t="s">
        <v>1498</v>
      </c>
      <c r="L161" s="4" t="s">
        <v>1499</v>
      </c>
      <c r="M161" s="4" t="s">
        <v>1500</v>
      </c>
      <c r="N161" s="4"/>
      <c r="O161" s="4"/>
      <c r="P161" s="4"/>
      <c r="Q161" s="2"/>
      <c r="R161" s="2" t="s">
        <v>1499</v>
      </c>
      <c r="S161" s="2" t="str">
        <f t="shared" si="4"/>
        <v/>
      </c>
      <c r="T161" s="11"/>
      <c r="U161" s="10" t="str">
        <f t="shared" si="5"/>
        <v>SYS.NoSQLNoSQLPrimaryStandbySwitched</v>
      </c>
      <c r="V161" s="10" t="b">
        <f>ISNUMBER(MATCH(U161,#REF!,0))</f>
        <v>0</v>
      </c>
    </row>
    <row r="162" spans="1:22" ht="115" x14ac:dyDescent="0.25">
      <c r="A162" s="12">
        <f t="shared" si="6"/>
        <v>161</v>
      </c>
      <c r="B162" s="12" t="s">
        <v>179</v>
      </c>
      <c r="C162" s="12" t="s">
        <v>180</v>
      </c>
      <c r="D162" s="13" t="s">
        <v>181</v>
      </c>
      <c r="E162" s="12" t="s">
        <v>1726</v>
      </c>
      <c r="F162" s="12" t="s">
        <v>1727</v>
      </c>
      <c r="G162" s="12" t="s">
        <v>1626</v>
      </c>
      <c r="H162" s="12" t="s">
        <v>1728</v>
      </c>
      <c r="I162" s="12" t="s">
        <v>1729</v>
      </c>
      <c r="J162" s="4" t="s">
        <v>55</v>
      </c>
      <c r="K162" s="4" t="s">
        <v>1498</v>
      </c>
      <c r="L162" s="4" t="s">
        <v>1499</v>
      </c>
      <c r="M162" s="4" t="s">
        <v>1500</v>
      </c>
      <c r="N162" s="4"/>
      <c r="O162" s="4"/>
      <c r="P162" s="4"/>
      <c r="Q162" s="2"/>
      <c r="R162" s="2" t="s">
        <v>1110</v>
      </c>
      <c r="S162" s="2" t="str">
        <f t="shared" si="4"/>
        <v>否</v>
      </c>
      <c r="T162" s="11"/>
      <c r="U162" s="10" t="str">
        <f t="shared" si="5"/>
        <v>SYS.NoSQLNoSQLResizeInstanceFailed</v>
      </c>
      <c r="V162" s="10" t="b">
        <f>ISNUMBER(MATCH(U162,#REF!,0))</f>
        <v>0</v>
      </c>
    </row>
    <row r="163" spans="1:22" ht="115" x14ac:dyDescent="0.25">
      <c r="A163" s="12">
        <f t="shared" si="6"/>
        <v>162</v>
      </c>
      <c r="B163" s="12" t="s">
        <v>179</v>
      </c>
      <c r="C163" s="12" t="s">
        <v>180</v>
      </c>
      <c r="D163" s="13" t="s">
        <v>181</v>
      </c>
      <c r="E163" s="12" t="s">
        <v>1730</v>
      </c>
      <c r="F163" s="12" t="s">
        <v>1731</v>
      </c>
      <c r="G163" s="12" t="s">
        <v>1626</v>
      </c>
      <c r="H163" s="12" t="s">
        <v>1732</v>
      </c>
      <c r="I163" s="12" t="s">
        <v>1630</v>
      </c>
      <c r="J163" s="4" t="s">
        <v>55</v>
      </c>
      <c r="K163" s="4" t="s">
        <v>1498</v>
      </c>
      <c r="L163" s="4" t="s">
        <v>1518</v>
      </c>
      <c r="M163" s="4" t="s">
        <v>1500</v>
      </c>
      <c r="N163" s="14"/>
      <c r="O163" s="14"/>
      <c r="P163" s="14"/>
      <c r="Q163" s="2"/>
      <c r="R163" s="2" t="s">
        <v>1110</v>
      </c>
      <c r="S163" s="2" t="str">
        <f t="shared" si="4"/>
        <v>否</v>
      </c>
      <c r="T163" s="11"/>
      <c r="U163" s="10" t="str">
        <f t="shared" si="5"/>
        <v>SYS.NoSQLNoSQLScaleUpStorageFailed</v>
      </c>
      <c r="V163" s="10" t="b">
        <f>ISNUMBER(MATCH(U163,#REF!,0))</f>
        <v>0</v>
      </c>
    </row>
    <row r="164" spans="1:22" ht="138" x14ac:dyDescent="0.25">
      <c r="A164" s="12">
        <f t="shared" si="6"/>
        <v>163</v>
      </c>
      <c r="B164" s="12" t="s">
        <v>179</v>
      </c>
      <c r="C164" s="12" t="s">
        <v>180</v>
      </c>
      <c r="D164" s="13" t="s">
        <v>181</v>
      </c>
      <c r="E164" s="12" t="s">
        <v>1733</v>
      </c>
      <c r="F164" s="12" t="s">
        <v>1734</v>
      </c>
      <c r="G164" s="12" t="s">
        <v>1735</v>
      </c>
      <c r="H164" s="12" t="s">
        <v>1736</v>
      </c>
      <c r="I164" s="12" t="s">
        <v>1737</v>
      </c>
      <c r="J164" s="4" t="s">
        <v>55</v>
      </c>
      <c r="K164" s="4" t="s">
        <v>1498</v>
      </c>
      <c r="L164" s="4" t="s">
        <v>1518</v>
      </c>
      <c r="M164" s="4" t="s">
        <v>1500</v>
      </c>
      <c r="N164" s="14"/>
      <c r="O164" s="14"/>
      <c r="P164" s="14"/>
      <c r="Q164" s="2"/>
      <c r="R164" s="2" t="s">
        <v>1110</v>
      </c>
      <c r="S164" s="2" t="str">
        <f t="shared" si="4"/>
        <v>否</v>
      </c>
      <c r="T164" s="11"/>
      <c r="U164" s="10" t="str">
        <f t="shared" si="5"/>
        <v>SYS.NoSQLHotKeyOccurs</v>
      </c>
      <c r="V164" s="10" t="b">
        <f>ISNUMBER(MATCH(U164,#REF!,0))</f>
        <v>0</v>
      </c>
    </row>
    <row r="165" spans="1:22" ht="80.5" x14ac:dyDescent="0.25">
      <c r="A165" s="12">
        <f t="shared" si="6"/>
        <v>164</v>
      </c>
      <c r="B165" s="12" t="s">
        <v>179</v>
      </c>
      <c r="C165" s="12" t="s">
        <v>180</v>
      </c>
      <c r="D165" s="13" t="s">
        <v>181</v>
      </c>
      <c r="E165" s="12" t="s">
        <v>1738</v>
      </c>
      <c r="F165" s="12" t="s">
        <v>1739</v>
      </c>
      <c r="G165" s="12" t="s">
        <v>1740</v>
      </c>
      <c r="H165" s="12" t="s">
        <v>1741</v>
      </c>
      <c r="I165" s="12" t="s">
        <v>1742</v>
      </c>
      <c r="J165" s="4" t="s">
        <v>55</v>
      </c>
      <c r="K165" s="4" t="s">
        <v>1498</v>
      </c>
      <c r="L165" s="4" t="s">
        <v>1518</v>
      </c>
      <c r="M165" s="4" t="s">
        <v>1500</v>
      </c>
      <c r="N165" s="14"/>
      <c r="O165" s="14"/>
      <c r="P165" s="14"/>
      <c r="Q165" s="2"/>
      <c r="R165" s="2" t="s">
        <v>1110</v>
      </c>
      <c r="S165" s="2" t="str">
        <f t="shared" si="4"/>
        <v>否</v>
      </c>
      <c r="T165" s="11"/>
      <c r="U165" s="10" t="str">
        <f t="shared" si="5"/>
        <v>SYS.NoSQLBigKeyOccurs</v>
      </c>
      <c r="V165" s="10" t="b">
        <f>ISNUMBER(MATCH(U165,#REF!,0))</f>
        <v>0</v>
      </c>
    </row>
    <row r="166" spans="1:22" ht="126.5" x14ac:dyDescent="0.25">
      <c r="A166" s="12">
        <f t="shared" si="6"/>
        <v>165</v>
      </c>
      <c r="B166" s="12" t="s">
        <v>179</v>
      </c>
      <c r="C166" s="12" t="s">
        <v>180</v>
      </c>
      <c r="D166" s="13" t="s">
        <v>181</v>
      </c>
      <c r="E166" s="12" t="s">
        <v>1743</v>
      </c>
      <c r="F166" s="12" t="s">
        <v>1744</v>
      </c>
      <c r="G166" s="12" t="s">
        <v>1745</v>
      </c>
      <c r="H166" s="12" t="s">
        <v>1746</v>
      </c>
      <c r="I166" s="12" t="s">
        <v>1747</v>
      </c>
      <c r="J166" s="4" t="s">
        <v>55</v>
      </c>
      <c r="K166" s="4" t="s">
        <v>1498</v>
      </c>
      <c r="L166" s="4" t="s">
        <v>1518</v>
      </c>
      <c r="M166" s="4" t="s">
        <v>1500</v>
      </c>
      <c r="N166" s="14"/>
      <c r="O166" s="14"/>
      <c r="P166" s="14"/>
      <c r="Q166" s="2"/>
      <c r="R166" s="2" t="s">
        <v>1110</v>
      </c>
      <c r="S166" s="2" t="str">
        <f t="shared" si="4"/>
        <v>否</v>
      </c>
      <c r="T166" s="11"/>
      <c r="U166" s="10" t="str">
        <f t="shared" si="5"/>
        <v>SYS.NoSQLNoSQLStallingOccurs</v>
      </c>
      <c r="V166" s="10" t="b">
        <f>ISNUMBER(MATCH(U166,#REF!,0))</f>
        <v>0</v>
      </c>
    </row>
    <row r="167" spans="1:22" ht="126.5" x14ac:dyDescent="0.25">
      <c r="A167" s="12">
        <f t="shared" si="6"/>
        <v>166</v>
      </c>
      <c r="B167" s="12" t="s">
        <v>179</v>
      </c>
      <c r="C167" s="12" t="s">
        <v>180</v>
      </c>
      <c r="D167" s="13" t="s">
        <v>181</v>
      </c>
      <c r="E167" s="12" t="s">
        <v>1748</v>
      </c>
      <c r="F167" s="12" t="s">
        <v>1749</v>
      </c>
      <c r="G167" s="12" t="s">
        <v>1750</v>
      </c>
      <c r="H167" s="12" t="s">
        <v>1746</v>
      </c>
      <c r="I167" s="12" t="s">
        <v>1747</v>
      </c>
      <c r="J167" s="4" t="s">
        <v>55</v>
      </c>
      <c r="K167" s="4" t="s">
        <v>1498</v>
      </c>
      <c r="L167" s="4" t="s">
        <v>1518</v>
      </c>
      <c r="M167" s="4" t="s">
        <v>1500</v>
      </c>
      <c r="N167" s="14"/>
      <c r="O167" s="14"/>
      <c r="P167" s="14"/>
      <c r="Q167" s="2"/>
      <c r="R167" s="2" t="s">
        <v>1110</v>
      </c>
      <c r="S167" s="2" t="str">
        <f t="shared" si="4"/>
        <v>否</v>
      </c>
      <c r="T167" s="11"/>
      <c r="U167" s="10" t="str">
        <f t="shared" si="5"/>
        <v>SYS.NoSQLNoSQLStoppingOccurs</v>
      </c>
      <c r="V167" s="10" t="b">
        <f>ISNUMBER(MATCH(U167,#REF!,0))</f>
        <v>0</v>
      </c>
    </row>
    <row r="168" spans="1:22" ht="57.5" x14ac:dyDescent="0.25">
      <c r="A168" s="12">
        <f t="shared" ref="A168:A182" si="7">ROW()-1</f>
        <v>167</v>
      </c>
      <c r="B168" s="12" t="s">
        <v>1751</v>
      </c>
      <c r="C168" s="12" t="s">
        <v>1752</v>
      </c>
      <c r="D168" s="12" t="s">
        <v>688</v>
      </c>
      <c r="E168" s="12" t="s">
        <v>1726</v>
      </c>
      <c r="F168" s="12" t="s">
        <v>1753</v>
      </c>
      <c r="G168" s="12" t="s">
        <v>1626</v>
      </c>
      <c r="H168" s="12" t="s">
        <v>1754</v>
      </c>
      <c r="I168" s="12" t="s">
        <v>1755</v>
      </c>
      <c r="J168" s="4" t="s">
        <v>55</v>
      </c>
      <c r="K168" s="4" t="s">
        <v>1498</v>
      </c>
      <c r="L168" s="4" t="s">
        <v>1499</v>
      </c>
      <c r="M168" s="4" t="s">
        <v>1500</v>
      </c>
      <c r="N168" s="4"/>
      <c r="O168" s="4"/>
      <c r="P168" s="4"/>
      <c r="Q168" s="2"/>
      <c r="R168" s="2" t="s">
        <v>1110</v>
      </c>
      <c r="S168" s="2" t="str">
        <f t="shared" ref="S168:S182" si="8">IF(L168=R168,"","否")</f>
        <v>否</v>
      </c>
      <c r="T168" s="11" t="s">
        <v>302</v>
      </c>
      <c r="U168" s="10" t="str">
        <f t="shared" ref="U168:U182" si="9">C168&amp;F168</f>
        <v>SYS.DDMresizeFlavorFailed</v>
      </c>
      <c r="V168" s="10" t="b">
        <f>ISNUMBER(MATCH(U168,#REF!,0))</f>
        <v>0</v>
      </c>
    </row>
    <row r="169" spans="1:22" ht="80.5" x14ac:dyDescent="0.25">
      <c r="A169" s="12">
        <f t="shared" si="7"/>
        <v>168</v>
      </c>
      <c r="B169" s="12" t="s">
        <v>1751</v>
      </c>
      <c r="C169" s="12" t="s">
        <v>1752</v>
      </c>
      <c r="D169" s="12" t="s">
        <v>688</v>
      </c>
      <c r="E169" s="12" t="s">
        <v>1756</v>
      </c>
      <c r="F169" s="12" t="s">
        <v>1757</v>
      </c>
      <c r="G169" s="12" t="s">
        <v>1626</v>
      </c>
      <c r="H169" s="12" t="s">
        <v>1758</v>
      </c>
      <c r="I169" s="12" t="s">
        <v>1759</v>
      </c>
      <c r="J169" s="4" t="s">
        <v>55</v>
      </c>
      <c r="K169" s="4" t="s">
        <v>1498</v>
      </c>
      <c r="L169" s="4" t="s">
        <v>1499</v>
      </c>
      <c r="M169" s="4" t="s">
        <v>1500</v>
      </c>
      <c r="N169" s="4"/>
      <c r="O169" s="4"/>
      <c r="P169" s="4"/>
      <c r="Q169" s="2"/>
      <c r="R169" s="2" t="s">
        <v>1110</v>
      </c>
      <c r="S169" s="2" t="str">
        <f t="shared" si="8"/>
        <v>否</v>
      </c>
      <c r="T169" s="11" t="s">
        <v>302</v>
      </c>
      <c r="U169" s="10" t="str">
        <f t="shared" si="9"/>
        <v>SYS.DDMenlargeNodeFailed</v>
      </c>
      <c r="V169" s="10" t="b">
        <f>ISNUMBER(MATCH(U169,#REF!,0))</f>
        <v>0</v>
      </c>
    </row>
    <row r="170" spans="1:22" ht="34.5" x14ac:dyDescent="0.25">
      <c r="A170" s="12">
        <f t="shared" si="7"/>
        <v>169</v>
      </c>
      <c r="B170" s="12" t="s">
        <v>1751</v>
      </c>
      <c r="C170" s="12" t="s">
        <v>1752</v>
      </c>
      <c r="D170" s="12" t="s">
        <v>688</v>
      </c>
      <c r="E170" s="12" t="s">
        <v>1760</v>
      </c>
      <c r="F170" s="12" t="s">
        <v>1761</v>
      </c>
      <c r="G170" s="12" t="s">
        <v>1762</v>
      </c>
      <c r="H170" s="12" t="s">
        <v>1763</v>
      </c>
      <c r="I170" s="12" t="s">
        <v>1764</v>
      </c>
      <c r="J170" s="4" t="s">
        <v>55</v>
      </c>
      <c r="K170" s="4" t="s">
        <v>1498</v>
      </c>
      <c r="L170" s="4" t="s">
        <v>1499</v>
      </c>
      <c r="M170" s="4" t="s">
        <v>1500</v>
      </c>
      <c r="N170" s="4"/>
      <c r="O170" s="4"/>
      <c r="P170" s="4"/>
      <c r="Q170" s="2"/>
      <c r="R170" s="2" t="s">
        <v>1110</v>
      </c>
      <c r="S170" s="2" t="str">
        <f t="shared" si="8"/>
        <v>否</v>
      </c>
      <c r="T170" s="11" t="s">
        <v>302</v>
      </c>
      <c r="U170" s="10" t="str">
        <f t="shared" si="9"/>
        <v>SYS.DDMmigrateLogicDbFailed</v>
      </c>
      <c r="V170" s="10" t="b">
        <f>ISNUMBER(MATCH(U170,#REF!,0))</f>
        <v>0</v>
      </c>
    </row>
    <row r="171" spans="1:22" ht="34.5" x14ac:dyDescent="0.25">
      <c r="A171" s="12">
        <f t="shared" si="7"/>
        <v>170</v>
      </c>
      <c r="B171" s="12" t="s">
        <v>1751</v>
      </c>
      <c r="C171" s="12" t="s">
        <v>1752</v>
      </c>
      <c r="D171" s="12" t="s">
        <v>688</v>
      </c>
      <c r="E171" s="12" t="s">
        <v>1765</v>
      </c>
      <c r="F171" s="12" t="s">
        <v>1766</v>
      </c>
      <c r="G171" s="12" t="s">
        <v>1762</v>
      </c>
      <c r="H171" s="12" t="s">
        <v>1763</v>
      </c>
      <c r="I171" s="12" t="s">
        <v>1764</v>
      </c>
      <c r="J171" s="4" t="s">
        <v>55</v>
      </c>
      <c r="K171" s="4" t="s">
        <v>1498</v>
      </c>
      <c r="L171" s="4" t="s">
        <v>1499</v>
      </c>
      <c r="M171" s="4" t="s">
        <v>1500</v>
      </c>
      <c r="N171" s="4"/>
      <c r="O171" s="4"/>
      <c r="P171" s="4"/>
      <c r="Q171" s="2"/>
      <c r="R171" s="2" t="s">
        <v>1110</v>
      </c>
      <c r="S171" s="2" t="str">
        <f t="shared" si="8"/>
        <v>否</v>
      </c>
      <c r="T171" s="11" t="s">
        <v>302</v>
      </c>
      <c r="U171" s="10" t="str">
        <f t="shared" si="9"/>
        <v>SYS.DDMretryMigrateLogicDbFailed</v>
      </c>
      <c r="V171" s="10" t="b">
        <f>ISNUMBER(MATCH(U171,#REF!,0))</f>
        <v>0</v>
      </c>
    </row>
    <row r="172" spans="1:22" ht="34.5" x14ac:dyDescent="0.25">
      <c r="A172" s="12">
        <f t="shared" si="7"/>
        <v>171</v>
      </c>
      <c r="B172" s="12" t="s">
        <v>1103</v>
      </c>
      <c r="C172" s="12" t="s">
        <v>1104</v>
      </c>
      <c r="D172" s="12" t="s">
        <v>1105</v>
      </c>
      <c r="E172" s="12" t="s">
        <v>1574</v>
      </c>
      <c r="F172" s="12" t="s">
        <v>1575</v>
      </c>
      <c r="G172" s="12" t="s">
        <v>1768</v>
      </c>
      <c r="H172" s="12" t="s">
        <v>1769</v>
      </c>
      <c r="I172" s="12" t="s">
        <v>1770</v>
      </c>
      <c r="J172" s="4" t="s">
        <v>55</v>
      </c>
      <c r="K172" s="4" t="s">
        <v>1498</v>
      </c>
      <c r="L172" s="4" t="s">
        <v>1499</v>
      </c>
      <c r="M172" s="4" t="s">
        <v>1500</v>
      </c>
      <c r="N172" s="4"/>
      <c r="O172" s="4"/>
      <c r="P172" s="4"/>
      <c r="Q172" s="2"/>
      <c r="R172" s="2" t="s">
        <v>1110</v>
      </c>
      <c r="S172" s="2" t="str">
        <f t="shared" si="8"/>
        <v>否</v>
      </c>
      <c r="T172" s="11"/>
      <c r="U172" s="10" t="str">
        <f t="shared" si="9"/>
        <v>SYS.BMSReadOnlyFileSystem</v>
      </c>
      <c r="V172" s="10" t="b">
        <f>ISNUMBER(MATCH(U172,#REF!,0))</f>
        <v>0</v>
      </c>
    </row>
    <row r="173" spans="1:22" ht="80.5" x14ac:dyDescent="0.25">
      <c r="A173" s="12">
        <f t="shared" si="7"/>
        <v>172</v>
      </c>
      <c r="B173" s="12" t="s">
        <v>1103</v>
      </c>
      <c r="C173" s="12" t="s">
        <v>1104</v>
      </c>
      <c r="D173" s="12" t="s">
        <v>1105</v>
      </c>
      <c r="E173" s="12" t="s">
        <v>1584</v>
      </c>
      <c r="F173" s="12" t="s">
        <v>1585</v>
      </c>
      <c r="G173" s="12" t="s">
        <v>1782</v>
      </c>
      <c r="H173" s="12" t="s">
        <v>1783</v>
      </c>
      <c r="I173" s="12" t="s">
        <v>1784</v>
      </c>
      <c r="J173" s="4" t="s">
        <v>55</v>
      </c>
      <c r="K173" s="4" t="s">
        <v>1498</v>
      </c>
      <c r="L173" s="4" t="s">
        <v>1518</v>
      </c>
      <c r="M173" s="4" t="s">
        <v>1500</v>
      </c>
      <c r="N173" s="4"/>
      <c r="O173" s="4"/>
      <c r="P173" s="4"/>
      <c r="Q173" s="2"/>
      <c r="R173" s="2" t="s">
        <v>1110</v>
      </c>
      <c r="S173" s="2" t="str">
        <f t="shared" si="8"/>
        <v>否</v>
      </c>
      <c r="T173" s="11"/>
      <c r="U173" s="10" t="str">
        <f t="shared" si="9"/>
        <v>SYS.BMSMountDiskSystem</v>
      </c>
      <c r="V173" s="10" t="b">
        <f>ISNUMBER(MATCH(U173,#REF!,0))</f>
        <v>0</v>
      </c>
    </row>
    <row r="174" spans="1:22" ht="184" x14ac:dyDescent="0.25">
      <c r="A174" s="12">
        <f t="shared" si="7"/>
        <v>173</v>
      </c>
      <c r="B174" s="12" t="s">
        <v>1103</v>
      </c>
      <c r="C174" s="12" t="s">
        <v>1104</v>
      </c>
      <c r="D174" s="12" t="s">
        <v>1105</v>
      </c>
      <c r="E174" s="12" t="s">
        <v>1792</v>
      </c>
      <c r="F174" s="12" t="s">
        <v>1793</v>
      </c>
      <c r="G174" s="12" t="s">
        <v>1794</v>
      </c>
      <c r="H174" s="12" t="s">
        <v>1795</v>
      </c>
      <c r="I174" s="12" t="s">
        <v>1791</v>
      </c>
      <c r="J174" s="4" t="s">
        <v>55</v>
      </c>
      <c r="K174" s="2" t="s">
        <v>1498</v>
      </c>
      <c r="L174" s="4" t="s">
        <v>1518</v>
      </c>
      <c r="M174" s="4" t="s">
        <v>1500</v>
      </c>
      <c r="N174" s="4"/>
      <c r="O174" s="4"/>
      <c r="P174" s="4"/>
      <c r="Q174" s="2"/>
      <c r="R174" s="2" t="s">
        <v>1110</v>
      </c>
      <c r="S174" s="2" t="str">
        <f t="shared" si="8"/>
        <v>否</v>
      </c>
      <c r="T174" s="11"/>
      <c r="U174" s="10" t="str">
        <f t="shared" si="9"/>
        <v>SYS.BMSgpuDRAMUncorrectableEccError</v>
      </c>
      <c r="V174" s="10" t="b">
        <f>ISNUMBER(MATCH(U174,#REF!,0))</f>
        <v>0</v>
      </c>
    </row>
    <row r="175" spans="1:22" ht="23" x14ac:dyDescent="0.25">
      <c r="A175" s="12">
        <f t="shared" si="7"/>
        <v>174</v>
      </c>
      <c r="B175" s="12" t="s">
        <v>1103</v>
      </c>
      <c r="C175" s="12" t="s">
        <v>1104</v>
      </c>
      <c r="D175" s="12" t="s">
        <v>1105</v>
      </c>
      <c r="E175" s="12" t="s">
        <v>1796</v>
      </c>
      <c r="F175" s="12" t="s">
        <v>1797</v>
      </c>
      <c r="G175" s="12" t="s">
        <v>1110</v>
      </c>
      <c r="H175" s="12" t="s">
        <v>1110</v>
      </c>
      <c r="I175" s="12" t="s">
        <v>1110</v>
      </c>
      <c r="J175" s="4" t="s">
        <v>55</v>
      </c>
      <c r="K175" s="2" t="s">
        <v>1498</v>
      </c>
      <c r="L175" s="4" t="s">
        <v>1518</v>
      </c>
      <c r="M175" s="4" t="s">
        <v>1500</v>
      </c>
      <c r="N175" s="4"/>
      <c r="O175" s="4"/>
      <c r="P175" s="4"/>
      <c r="Q175" s="2"/>
      <c r="R175" s="2" t="s">
        <v>1110</v>
      </c>
      <c r="S175" s="2" t="str">
        <f t="shared" si="8"/>
        <v>否</v>
      </c>
      <c r="T175" s="11"/>
      <c r="U175" s="10" t="str">
        <f t="shared" si="9"/>
        <v>SYS.BMSnicLinkDown</v>
      </c>
      <c r="V175" s="10" t="b">
        <f>ISNUMBER(MATCH(U175,#REF!,0))</f>
        <v>0</v>
      </c>
    </row>
    <row r="176" spans="1:22" ht="57.5" x14ac:dyDescent="0.25">
      <c r="A176" s="12">
        <f t="shared" si="7"/>
        <v>175</v>
      </c>
      <c r="B176" s="12" t="s">
        <v>1103</v>
      </c>
      <c r="C176" s="12" t="s">
        <v>1104</v>
      </c>
      <c r="D176" s="12" t="s">
        <v>1105</v>
      </c>
      <c r="E176" s="12" t="s">
        <v>1798</v>
      </c>
      <c r="F176" s="12" t="s">
        <v>1799</v>
      </c>
      <c r="G176" s="12" t="s">
        <v>1800</v>
      </c>
      <c r="H176" s="12" t="s">
        <v>1801</v>
      </c>
      <c r="I176" s="12" t="s">
        <v>1802</v>
      </c>
      <c r="J176" s="4" t="s">
        <v>55</v>
      </c>
      <c r="K176" s="2" t="s">
        <v>1498</v>
      </c>
      <c r="L176" s="4" t="s">
        <v>1518</v>
      </c>
      <c r="M176" s="4" t="s">
        <v>1500</v>
      </c>
      <c r="N176" s="4"/>
      <c r="O176" s="4"/>
      <c r="P176" s="4"/>
      <c r="Q176" s="2"/>
      <c r="R176" s="2" t="s">
        <v>1110</v>
      </c>
      <c r="S176" s="2" t="str">
        <f t="shared" si="8"/>
        <v>否</v>
      </c>
      <c r="T176" s="11"/>
      <c r="U176" s="10" t="str">
        <f t="shared" si="9"/>
        <v>SYS.BMSlocaldisk_recovery_completed</v>
      </c>
      <c r="V176" s="10" t="b">
        <f>ISNUMBER(MATCH(U176,#REF!,0))</f>
        <v>0</v>
      </c>
    </row>
    <row r="177" spans="1:22" ht="34.5" x14ac:dyDescent="0.25">
      <c r="A177" s="12">
        <f t="shared" si="7"/>
        <v>176</v>
      </c>
      <c r="B177" s="12" t="s">
        <v>1103</v>
      </c>
      <c r="C177" s="12" t="s">
        <v>1104</v>
      </c>
      <c r="D177" s="12" t="s">
        <v>1105</v>
      </c>
      <c r="E177" s="12" t="s">
        <v>1803</v>
      </c>
      <c r="F177" s="12" t="s">
        <v>1804</v>
      </c>
      <c r="G177" s="12" t="s">
        <v>1805</v>
      </c>
      <c r="H177" s="12" t="s">
        <v>1806</v>
      </c>
      <c r="I177" s="12" t="s">
        <v>1807</v>
      </c>
      <c r="J177" s="4" t="s">
        <v>55</v>
      </c>
      <c r="K177" s="2" t="s">
        <v>1498</v>
      </c>
      <c r="L177" s="4" t="s">
        <v>1518</v>
      </c>
      <c r="M177" s="4" t="s">
        <v>1500</v>
      </c>
      <c r="N177" s="4"/>
      <c r="O177" s="4"/>
      <c r="P177" s="4"/>
      <c r="Q177" s="2"/>
      <c r="R177" s="2" t="s">
        <v>1110</v>
      </c>
      <c r="S177" s="2" t="str">
        <f t="shared" si="8"/>
        <v>否</v>
      </c>
      <c r="T177" s="11"/>
      <c r="U177" s="10" t="str">
        <f t="shared" si="9"/>
        <v>SYS.BMSInfinibandStatusException</v>
      </c>
      <c r="V177" s="10" t="b">
        <f>ISNUMBER(MATCH(U177,#REF!,0))</f>
        <v>0</v>
      </c>
    </row>
    <row r="178" spans="1:22" ht="57.5" x14ac:dyDescent="0.25">
      <c r="A178" s="13">
        <f t="shared" si="7"/>
        <v>177</v>
      </c>
      <c r="B178" s="13" t="s">
        <v>1103</v>
      </c>
      <c r="C178" s="13" t="s">
        <v>1104</v>
      </c>
      <c r="D178" s="13" t="s">
        <v>1105</v>
      </c>
      <c r="E178" s="13" t="s">
        <v>1571</v>
      </c>
      <c r="F178" s="13" t="s">
        <v>1816</v>
      </c>
      <c r="G178" s="13" t="s">
        <v>1817</v>
      </c>
      <c r="H178" s="13" t="s">
        <v>1818</v>
      </c>
      <c r="I178" s="13" t="s">
        <v>1819</v>
      </c>
      <c r="J178" s="4" t="s">
        <v>55</v>
      </c>
      <c r="K178" s="4" t="s">
        <v>1498</v>
      </c>
      <c r="L178" s="4" t="s">
        <v>1518</v>
      </c>
      <c r="M178" s="4" t="s">
        <v>1500</v>
      </c>
      <c r="N178" s="4"/>
      <c r="O178" s="4"/>
      <c r="P178" s="4"/>
      <c r="Q178" s="2"/>
      <c r="R178" s="2" t="s">
        <v>1110</v>
      </c>
      <c r="S178" s="2" t="str">
        <f t="shared" si="8"/>
        <v>否</v>
      </c>
      <c r="T178" s="11"/>
      <c r="U178" s="10" t="str">
        <f t="shared" si="9"/>
        <v>SYS.BMSUncorrectableEccErrorCount</v>
      </c>
      <c r="V178" s="10" t="b">
        <f>ISNUMBER(MATCH(U178,#REF!,0))</f>
        <v>0</v>
      </c>
    </row>
    <row r="179" spans="1:22" ht="80.5" x14ac:dyDescent="0.25">
      <c r="A179" s="12">
        <f t="shared" si="7"/>
        <v>178</v>
      </c>
      <c r="B179" s="12" t="s">
        <v>1103</v>
      </c>
      <c r="C179" s="12" t="s">
        <v>1104</v>
      </c>
      <c r="D179" s="12" t="s">
        <v>1105</v>
      </c>
      <c r="E179" s="12" t="s">
        <v>1824</v>
      </c>
      <c r="F179" s="12" t="s">
        <v>1825</v>
      </c>
      <c r="G179" s="12" t="s">
        <v>1826</v>
      </c>
      <c r="H179" s="12" t="s">
        <v>1823</v>
      </c>
      <c r="I179" s="12" t="s">
        <v>1809</v>
      </c>
      <c r="J179" s="4" t="s">
        <v>55</v>
      </c>
      <c r="K179" s="4" t="s">
        <v>1498</v>
      </c>
      <c r="L179" s="4" t="s">
        <v>1518</v>
      </c>
      <c r="M179" s="4" t="s">
        <v>1500</v>
      </c>
      <c r="N179" s="4"/>
      <c r="O179" s="4"/>
      <c r="P179" s="4"/>
      <c r="Q179" s="2"/>
      <c r="R179" s="2" t="s">
        <v>1518</v>
      </c>
      <c r="S179" s="2" t="str">
        <f t="shared" si="8"/>
        <v/>
      </c>
      <c r="T179" s="11"/>
      <c r="U179" s="10" t="str">
        <f t="shared" si="9"/>
        <v>SYS.BMSserverReboot</v>
      </c>
      <c r="V179" s="10" t="b">
        <f>ISNUMBER(MATCH(U179,#REF!,0))</f>
        <v>0</v>
      </c>
    </row>
    <row r="180" spans="1:22" ht="126.5" x14ac:dyDescent="0.25">
      <c r="A180" s="12">
        <f t="shared" si="7"/>
        <v>179</v>
      </c>
      <c r="B180" s="12" t="s">
        <v>1103</v>
      </c>
      <c r="C180" s="12" t="s">
        <v>1104</v>
      </c>
      <c r="D180" s="12" t="s">
        <v>1105</v>
      </c>
      <c r="E180" s="12" t="s">
        <v>1827</v>
      </c>
      <c r="F180" s="12" t="s">
        <v>1828</v>
      </c>
      <c r="G180" s="12" t="s">
        <v>1829</v>
      </c>
      <c r="H180" s="12" t="s">
        <v>1823</v>
      </c>
      <c r="I180" s="12" t="s">
        <v>1809</v>
      </c>
      <c r="J180" s="4" t="s">
        <v>55</v>
      </c>
      <c r="K180" s="4" t="s">
        <v>1498</v>
      </c>
      <c r="L180" s="4" t="s">
        <v>1518</v>
      </c>
      <c r="M180" s="4" t="s">
        <v>1500</v>
      </c>
      <c r="N180" s="4"/>
      <c r="O180" s="4"/>
      <c r="P180" s="4"/>
      <c r="Q180" s="2"/>
      <c r="R180" s="2" t="s">
        <v>1499</v>
      </c>
      <c r="S180" s="2" t="str">
        <f t="shared" si="8"/>
        <v>否</v>
      </c>
      <c r="T180" s="11"/>
      <c r="U180" s="10" t="str">
        <f t="shared" si="9"/>
        <v>SYS.BMSlinkDown</v>
      </c>
      <c r="V180" s="10" t="b">
        <f>ISNUMBER(MATCH(U180,#REF!,0))</f>
        <v>0</v>
      </c>
    </row>
    <row r="181" spans="1:22" ht="80.5" x14ac:dyDescent="0.25">
      <c r="A181" s="12">
        <f t="shared" si="7"/>
        <v>180</v>
      </c>
      <c r="B181" s="12" t="s">
        <v>1103</v>
      </c>
      <c r="C181" s="12" t="s">
        <v>1104</v>
      </c>
      <c r="D181" s="12" t="s">
        <v>1105</v>
      </c>
      <c r="E181" s="12" t="s">
        <v>1830</v>
      </c>
      <c r="F181" s="12" t="s">
        <v>1831</v>
      </c>
      <c r="G181" s="12" t="s">
        <v>1832</v>
      </c>
      <c r="H181" s="12" t="s">
        <v>1823</v>
      </c>
      <c r="I181" s="12" t="s">
        <v>1833</v>
      </c>
      <c r="J181" s="4" t="s">
        <v>55</v>
      </c>
      <c r="K181" s="4" t="s">
        <v>1498</v>
      </c>
      <c r="L181" s="4" t="s">
        <v>1518</v>
      </c>
      <c r="M181" s="4" t="s">
        <v>1500</v>
      </c>
      <c r="N181" s="4"/>
      <c r="O181" s="4"/>
      <c r="P181" s="4"/>
      <c r="Q181" s="2"/>
      <c r="R181" s="2" t="s">
        <v>1518</v>
      </c>
      <c r="S181" s="2" t="str">
        <f t="shared" si="8"/>
        <v/>
      </c>
      <c r="T181" s="11"/>
      <c r="U181" s="10" t="str">
        <f t="shared" si="9"/>
        <v>SYS.BMSpcieError</v>
      </c>
      <c r="V181" s="10" t="b">
        <f>ISNUMBER(MATCH(U181,#REF!,0))</f>
        <v>0</v>
      </c>
    </row>
    <row r="182" spans="1:22" ht="80.5" x14ac:dyDescent="0.25">
      <c r="A182" s="12">
        <f t="shared" si="7"/>
        <v>181</v>
      </c>
      <c r="B182" s="12" t="s">
        <v>1103</v>
      </c>
      <c r="C182" s="12" t="s">
        <v>1104</v>
      </c>
      <c r="D182" s="12" t="s">
        <v>1105</v>
      </c>
      <c r="E182" s="12" t="s">
        <v>1834</v>
      </c>
      <c r="F182" s="12" t="s">
        <v>1835</v>
      </c>
      <c r="G182" s="12" t="s">
        <v>1836</v>
      </c>
      <c r="H182" s="12" t="s">
        <v>1823</v>
      </c>
      <c r="I182" s="12" t="s">
        <v>1837</v>
      </c>
      <c r="J182" s="4" t="s">
        <v>55</v>
      </c>
      <c r="K182" s="4" t="s">
        <v>1498</v>
      </c>
      <c r="L182" s="4" t="s">
        <v>1518</v>
      </c>
      <c r="M182" s="4" t="s">
        <v>1500</v>
      </c>
      <c r="N182" s="4"/>
      <c r="O182" s="4"/>
      <c r="P182" s="4"/>
      <c r="Q182" s="2"/>
      <c r="R182" s="2" t="s">
        <v>1518</v>
      </c>
      <c r="S182" s="2" t="str">
        <f t="shared" si="8"/>
        <v/>
      </c>
      <c r="T182" s="11"/>
      <c r="U182" s="10" t="str">
        <f t="shared" si="9"/>
        <v>SYS.BMSdiskError</v>
      </c>
      <c r="V182" s="10" t="b">
        <f>ISNUMBER(MATCH(U182,#REF!,0))</f>
        <v>0</v>
      </c>
    </row>
    <row r="183" spans="1:22" ht="80.5" x14ac:dyDescent="0.25">
      <c r="A183" s="12">
        <f t="shared" ref="A183:A194" si="10">ROW()-1</f>
        <v>182</v>
      </c>
      <c r="B183" s="12" t="s">
        <v>1103</v>
      </c>
      <c r="C183" s="12" t="s">
        <v>1104</v>
      </c>
      <c r="D183" s="12" t="s">
        <v>1105</v>
      </c>
      <c r="E183" s="12" t="s">
        <v>1838</v>
      </c>
      <c r="F183" s="12" t="s">
        <v>1839</v>
      </c>
      <c r="G183" s="12" t="s">
        <v>1840</v>
      </c>
      <c r="H183" s="12" t="s">
        <v>1823</v>
      </c>
      <c r="I183" s="12" t="s">
        <v>1837</v>
      </c>
      <c r="J183" s="4" t="s">
        <v>55</v>
      </c>
      <c r="K183" s="4" t="s">
        <v>1498</v>
      </c>
      <c r="L183" s="4" t="s">
        <v>1518</v>
      </c>
      <c r="M183" s="4" t="s">
        <v>1500</v>
      </c>
      <c r="N183" s="4"/>
      <c r="O183" s="4"/>
      <c r="P183" s="4"/>
      <c r="Q183" s="2"/>
      <c r="R183" s="2" t="s">
        <v>1518</v>
      </c>
      <c r="S183" s="2" t="str">
        <f>IF(L183=R183,"","否")</f>
        <v/>
      </c>
      <c r="T183" s="11"/>
      <c r="U183" s="10" t="str">
        <f t="shared" ref="U183:U194" si="11">C183&amp;F183</f>
        <v>SYS.BMSstorageError</v>
      </c>
      <c r="V183" s="10" t="b">
        <f>ISNUMBER(MATCH(U183,#REF!,0))</f>
        <v>0</v>
      </c>
    </row>
    <row r="184" spans="1:22" ht="92" x14ac:dyDescent="0.25">
      <c r="A184" s="12">
        <f t="shared" si="10"/>
        <v>183</v>
      </c>
      <c r="B184" s="12" t="s">
        <v>1103</v>
      </c>
      <c r="C184" s="12" t="s">
        <v>1104</v>
      </c>
      <c r="D184" s="12" t="s">
        <v>1105</v>
      </c>
      <c r="E184" s="12" t="s">
        <v>1841</v>
      </c>
      <c r="F184" s="12" t="s">
        <v>1842</v>
      </c>
      <c r="G184" s="12" t="s">
        <v>1843</v>
      </c>
      <c r="H184" s="12" t="s">
        <v>1844</v>
      </c>
      <c r="I184" s="12" t="s">
        <v>1845</v>
      </c>
      <c r="J184" s="4" t="s">
        <v>55</v>
      </c>
      <c r="K184" s="4" t="s">
        <v>1498</v>
      </c>
      <c r="L184" s="4" t="s">
        <v>1518</v>
      </c>
      <c r="M184" s="4" t="s">
        <v>1500</v>
      </c>
      <c r="N184" s="4"/>
      <c r="O184" s="4"/>
      <c r="P184" s="4"/>
      <c r="Q184" s="2"/>
      <c r="R184" s="2" t="s">
        <v>1110</v>
      </c>
      <c r="S184" s="2" t="str">
        <f t="shared" ref="S184:S194" si="12">IF(L184=R184,"","否")</f>
        <v>否</v>
      </c>
      <c r="T184" s="11"/>
      <c r="U184" s="10" t="str">
        <f t="shared" si="11"/>
        <v>SYS.BMSgpuDriverLinkFailureAlarm</v>
      </c>
      <c r="V184" s="10" t="b">
        <f>ISNUMBER(MATCH(U184,#REF!,0))</f>
        <v>0</v>
      </c>
    </row>
    <row r="185" spans="1:22" ht="57.5" x14ac:dyDescent="0.25">
      <c r="A185" s="12">
        <f t="shared" si="10"/>
        <v>184</v>
      </c>
      <c r="B185" s="12" t="s">
        <v>1103</v>
      </c>
      <c r="C185" s="12" t="s">
        <v>1104</v>
      </c>
      <c r="D185" s="12" t="s">
        <v>1105</v>
      </c>
      <c r="E185" s="12" t="s">
        <v>1846</v>
      </c>
      <c r="F185" s="12" t="s">
        <v>1847</v>
      </c>
      <c r="G185" s="12" t="s">
        <v>1848</v>
      </c>
      <c r="H185" s="12" t="s">
        <v>1808</v>
      </c>
      <c r="I185" s="12" t="s">
        <v>1849</v>
      </c>
      <c r="J185" s="4" t="s">
        <v>55</v>
      </c>
      <c r="K185" s="4" t="s">
        <v>1498</v>
      </c>
      <c r="L185" s="4" t="s">
        <v>1518</v>
      </c>
      <c r="M185" s="4" t="s">
        <v>1500</v>
      </c>
      <c r="N185" s="4"/>
      <c r="O185" s="4"/>
      <c r="P185" s="4"/>
      <c r="Q185" s="2"/>
      <c r="R185" s="2" t="s">
        <v>1110</v>
      </c>
      <c r="S185" s="2" t="str">
        <f t="shared" si="12"/>
        <v>否</v>
      </c>
      <c r="T185" s="11"/>
      <c r="U185" s="10" t="str">
        <f t="shared" si="11"/>
        <v>SYS.BMSgpuPcieLinkFailureAlarm</v>
      </c>
      <c r="V185" s="10" t="b">
        <f>ISNUMBER(MATCH(U185,#REF!,0))</f>
        <v>0</v>
      </c>
    </row>
    <row r="186" spans="1:22" ht="69" x14ac:dyDescent="0.25">
      <c r="A186" s="12">
        <f t="shared" si="10"/>
        <v>185</v>
      </c>
      <c r="B186" s="12" t="s">
        <v>1103</v>
      </c>
      <c r="C186" s="12" t="s">
        <v>1104</v>
      </c>
      <c r="D186" s="12" t="s">
        <v>1105</v>
      </c>
      <c r="E186" s="12" t="s">
        <v>1850</v>
      </c>
      <c r="F186" s="12" t="s">
        <v>1851</v>
      </c>
      <c r="G186" s="12" t="s">
        <v>1852</v>
      </c>
      <c r="H186" s="12" t="s">
        <v>1808</v>
      </c>
      <c r="I186" s="12" t="s">
        <v>1853</v>
      </c>
      <c r="J186" s="4" t="s">
        <v>55</v>
      </c>
      <c r="K186" s="2" t="s">
        <v>1498</v>
      </c>
      <c r="L186" s="4" t="s">
        <v>1518</v>
      </c>
      <c r="M186" s="4" t="s">
        <v>1500</v>
      </c>
      <c r="N186" s="4"/>
      <c r="O186" s="4"/>
      <c r="P186" s="4"/>
      <c r="Q186" s="2"/>
      <c r="R186" s="2" t="s">
        <v>1110</v>
      </c>
      <c r="S186" s="2" t="str">
        <f t="shared" si="12"/>
        <v>否</v>
      </c>
      <c r="T186" s="11"/>
      <c r="U186" s="10" t="str">
        <f t="shared" si="11"/>
        <v>SYS.BMSvmLostGpuAlarm</v>
      </c>
      <c r="V186" s="10" t="b">
        <f>ISNUMBER(MATCH(U186,#REF!,0))</f>
        <v>0</v>
      </c>
    </row>
    <row r="187" spans="1:22" ht="149.5" x14ac:dyDescent="0.25">
      <c r="A187" s="12">
        <f t="shared" si="10"/>
        <v>186</v>
      </c>
      <c r="B187" s="12" t="s">
        <v>1227</v>
      </c>
      <c r="C187" s="12" t="s">
        <v>1228</v>
      </c>
      <c r="D187" s="12" t="s">
        <v>1229</v>
      </c>
      <c r="E187" s="12" t="s">
        <v>1854</v>
      </c>
      <c r="F187" s="12" t="s">
        <v>1855</v>
      </c>
      <c r="G187" s="12" t="s">
        <v>1856</v>
      </c>
      <c r="H187" s="12" t="s">
        <v>1857</v>
      </c>
      <c r="I187" s="12" t="s">
        <v>1809</v>
      </c>
      <c r="J187" s="4" t="s">
        <v>55</v>
      </c>
      <c r="K187" s="4" t="s">
        <v>1498</v>
      </c>
      <c r="L187" s="4" t="s">
        <v>1499</v>
      </c>
      <c r="M187" s="4" t="s">
        <v>1500</v>
      </c>
      <c r="N187" s="4"/>
      <c r="O187" s="4"/>
      <c r="P187" s="4"/>
      <c r="Q187" s="2"/>
      <c r="R187" s="2" t="s">
        <v>1110</v>
      </c>
      <c r="S187" s="2" t="str">
        <f t="shared" si="12"/>
        <v>否</v>
      </c>
      <c r="T187" s="11"/>
      <c r="U187" s="10" t="str">
        <f t="shared" si="11"/>
        <v>SYS.HSShssAgentAbnormalOffline</v>
      </c>
      <c r="V187" s="10" t="b">
        <f>ISNUMBER(MATCH(U187,#REF!,0))</f>
        <v>0</v>
      </c>
    </row>
    <row r="188" spans="1:22" ht="161" x14ac:dyDescent="0.25">
      <c r="A188" s="12">
        <f t="shared" si="10"/>
        <v>187</v>
      </c>
      <c r="B188" s="12" t="s">
        <v>1227</v>
      </c>
      <c r="C188" s="12" t="s">
        <v>1228</v>
      </c>
      <c r="D188" s="12" t="s">
        <v>1229</v>
      </c>
      <c r="E188" s="12" t="s">
        <v>1858</v>
      </c>
      <c r="F188" s="12" t="s">
        <v>1859</v>
      </c>
      <c r="G188" s="12" t="s">
        <v>1860</v>
      </c>
      <c r="H188" s="12" t="s">
        <v>1861</v>
      </c>
      <c r="I188" s="12" t="s">
        <v>1809</v>
      </c>
      <c r="J188" s="4" t="s">
        <v>55</v>
      </c>
      <c r="K188" s="4" t="s">
        <v>1498</v>
      </c>
      <c r="L188" s="4" t="s">
        <v>1518</v>
      </c>
      <c r="M188" s="4" t="s">
        <v>1500</v>
      </c>
      <c r="N188" s="4"/>
      <c r="O188" s="4"/>
      <c r="P188" s="4"/>
      <c r="Q188" s="2"/>
      <c r="R188" s="2" t="s">
        <v>1110</v>
      </c>
      <c r="S188" s="2" t="str">
        <f t="shared" si="12"/>
        <v>否</v>
      </c>
      <c r="T188" s="11"/>
      <c r="U188" s="10" t="str">
        <f t="shared" si="11"/>
        <v>SYS.HSShssAgentAbnormalProtection</v>
      </c>
      <c r="V188" s="10" t="b">
        <f>ISNUMBER(MATCH(U188,#REF!,0))</f>
        <v>0</v>
      </c>
    </row>
    <row r="189" spans="1:22" ht="92" x14ac:dyDescent="0.25">
      <c r="A189" s="12">
        <f t="shared" si="10"/>
        <v>188</v>
      </c>
      <c r="B189" s="12" t="s">
        <v>258</v>
      </c>
      <c r="C189" s="12" t="s">
        <v>259</v>
      </c>
      <c r="D189" s="12" t="s">
        <v>260</v>
      </c>
      <c r="E189" s="12" t="s">
        <v>1862</v>
      </c>
      <c r="F189" s="12" t="s">
        <v>1863</v>
      </c>
      <c r="G189" s="12" t="s">
        <v>1864</v>
      </c>
      <c r="H189" s="12" t="s">
        <v>1865</v>
      </c>
      <c r="I189" s="12" t="s">
        <v>1866</v>
      </c>
      <c r="J189" s="4" t="s">
        <v>55</v>
      </c>
      <c r="K189" s="4" t="s">
        <v>1498</v>
      </c>
      <c r="L189" s="4" t="s">
        <v>1518</v>
      </c>
      <c r="M189" s="4" t="s">
        <v>1500</v>
      </c>
      <c r="N189" s="4"/>
      <c r="O189" s="4"/>
      <c r="P189" s="4"/>
      <c r="Q189" s="2"/>
      <c r="R189" s="2" t="s">
        <v>1110</v>
      </c>
      <c r="S189" s="2" t="str">
        <f t="shared" si="12"/>
        <v>否</v>
      </c>
      <c r="T189" s="11" t="s">
        <v>302</v>
      </c>
      <c r="U189" s="10" t="str">
        <f t="shared" si="11"/>
        <v>SYS.ELBhealthCheckUnhealthy</v>
      </c>
      <c r="V189" s="10" t="b">
        <f>ISNUMBER(MATCH(U189,#REF!,0))</f>
        <v>0</v>
      </c>
    </row>
    <row r="190" spans="1:22" ht="46" x14ac:dyDescent="0.25">
      <c r="A190" s="12">
        <f t="shared" si="10"/>
        <v>189</v>
      </c>
      <c r="B190" s="12" t="s">
        <v>258</v>
      </c>
      <c r="C190" s="12" t="s">
        <v>259</v>
      </c>
      <c r="D190" s="12" t="s">
        <v>260</v>
      </c>
      <c r="E190" s="12" t="s">
        <v>1867</v>
      </c>
      <c r="F190" s="12" t="s">
        <v>1868</v>
      </c>
      <c r="G190" s="12" t="s">
        <v>1869</v>
      </c>
      <c r="H190" s="12" t="s">
        <v>1537</v>
      </c>
      <c r="I190" s="12" t="s">
        <v>1870</v>
      </c>
      <c r="J190" s="4" t="s">
        <v>55</v>
      </c>
      <c r="K190" s="4" t="s">
        <v>1498</v>
      </c>
      <c r="L190" s="4" t="s">
        <v>1661</v>
      </c>
      <c r="M190" s="4" t="s">
        <v>1500</v>
      </c>
      <c r="N190" s="4"/>
      <c r="O190" s="4"/>
      <c r="P190" s="4"/>
      <c r="Q190" s="2"/>
      <c r="R190" s="2" t="s">
        <v>1110</v>
      </c>
      <c r="S190" s="2" t="str">
        <f t="shared" si="12"/>
        <v>否</v>
      </c>
      <c r="T190" s="11" t="s">
        <v>302</v>
      </c>
      <c r="U190" s="10" t="str">
        <f t="shared" si="11"/>
        <v>SYS.ELBhealthCheckRecovery</v>
      </c>
      <c r="V190" s="10" t="b">
        <f>ISNUMBER(MATCH(U190,#REF!,0))</f>
        <v>0</v>
      </c>
    </row>
    <row r="191" spans="1:22" ht="149.5" x14ac:dyDescent="0.25">
      <c r="A191" s="12">
        <f t="shared" si="10"/>
        <v>190</v>
      </c>
      <c r="B191" s="12" t="s">
        <v>1138</v>
      </c>
      <c r="C191" s="12" t="s">
        <v>1139</v>
      </c>
      <c r="D191" s="12" t="s">
        <v>1140</v>
      </c>
      <c r="E191" s="12" t="s">
        <v>1871</v>
      </c>
      <c r="F191" s="12" t="s">
        <v>1872</v>
      </c>
      <c r="G191" s="12" t="s">
        <v>1873</v>
      </c>
      <c r="H191" s="12" t="s">
        <v>1874</v>
      </c>
      <c r="I191" s="12" t="s">
        <v>1875</v>
      </c>
      <c r="J191" s="4" t="s">
        <v>55</v>
      </c>
      <c r="K191" s="4" t="s">
        <v>1498</v>
      </c>
      <c r="L191" s="4" t="s">
        <v>1518</v>
      </c>
      <c r="M191" s="4" t="s">
        <v>1500</v>
      </c>
      <c r="N191" s="4"/>
      <c r="O191" s="4"/>
      <c r="P191" s="4"/>
      <c r="Q191" s="2"/>
      <c r="R191" s="2" t="s">
        <v>1518</v>
      </c>
      <c r="S191" s="2" t="str">
        <f t="shared" si="12"/>
        <v/>
      </c>
      <c r="T191" s="11" t="s">
        <v>1519</v>
      </c>
      <c r="U191" s="10" t="str">
        <f t="shared" si="11"/>
        <v>SYS.OBSdeleteBucket</v>
      </c>
      <c r="V191" s="10" t="b">
        <f>ISNUMBER(MATCH(U191,#REF!,0))</f>
        <v>0</v>
      </c>
    </row>
    <row r="192" spans="1:22" ht="92" x14ac:dyDescent="0.25">
      <c r="A192" s="12">
        <f t="shared" si="10"/>
        <v>191</v>
      </c>
      <c r="B192" s="12" t="s">
        <v>1138</v>
      </c>
      <c r="C192" s="12" t="s">
        <v>1139</v>
      </c>
      <c r="D192" s="12" t="s">
        <v>1140</v>
      </c>
      <c r="E192" s="12" t="s">
        <v>1876</v>
      </c>
      <c r="F192" s="12" t="s">
        <v>1877</v>
      </c>
      <c r="G192" s="12" t="s">
        <v>1878</v>
      </c>
      <c r="H192" s="12" t="s">
        <v>1879</v>
      </c>
      <c r="I192" s="12" t="s">
        <v>1880</v>
      </c>
      <c r="J192" s="4" t="s">
        <v>55</v>
      </c>
      <c r="K192" s="4" t="s">
        <v>1498</v>
      </c>
      <c r="L192" s="4" t="s">
        <v>1518</v>
      </c>
      <c r="M192" s="4" t="s">
        <v>1500</v>
      </c>
      <c r="N192" s="4"/>
      <c r="O192" s="4"/>
      <c r="P192" s="4"/>
      <c r="Q192" s="2"/>
      <c r="R192" s="2" t="s">
        <v>1110</v>
      </c>
      <c r="S192" s="2" t="str">
        <f t="shared" si="12"/>
        <v>否</v>
      </c>
      <c r="T192" s="11" t="s">
        <v>1519</v>
      </c>
      <c r="U192" s="10" t="str">
        <f t="shared" si="11"/>
        <v>SYS.OBSdeleteBucketPolicy</v>
      </c>
      <c r="V192" s="10" t="b">
        <f>ISNUMBER(MATCH(U192,#REF!,0))</f>
        <v>0</v>
      </c>
    </row>
    <row r="193" spans="1:22" ht="92" x14ac:dyDescent="0.25">
      <c r="A193" s="12">
        <f t="shared" si="10"/>
        <v>192</v>
      </c>
      <c r="B193" s="12" t="s">
        <v>1138</v>
      </c>
      <c r="C193" s="12" t="s">
        <v>1139</v>
      </c>
      <c r="D193" s="12" t="s">
        <v>1140</v>
      </c>
      <c r="E193" s="12" t="s">
        <v>1881</v>
      </c>
      <c r="F193" s="12" t="s">
        <v>1882</v>
      </c>
      <c r="G193" s="12" t="s">
        <v>1883</v>
      </c>
      <c r="H193" s="12" t="s">
        <v>1884</v>
      </c>
      <c r="I193" s="12" t="s">
        <v>1885</v>
      </c>
      <c r="J193" s="4" t="s">
        <v>55</v>
      </c>
      <c r="K193" s="4" t="s">
        <v>1498</v>
      </c>
      <c r="L193" s="4" t="s">
        <v>1661</v>
      </c>
      <c r="M193" s="4" t="s">
        <v>1500</v>
      </c>
      <c r="N193" s="4"/>
      <c r="O193" s="4"/>
      <c r="P193" s="4"/>
      <c r="Q193" s="2"/>
      <c r="R193" s="2" t="s">
        <v>1110</v>
      </c>
      <c r="S193" s="2" t="str">
        <f t="shared" si="12"/>
        <v>否</v>
      </c>
      <c r="T193" s="11" t="s">
        <v>302</v>
      </c>
      <c r="U193" s="10" t="str">
        <f t="shared" si="11"/>
        <v>SYS.OBSsetBucketAcl</v>
      </c>
      <c r="V193" s="10" t="b">
        <f>ISNUMBER(MATCH(U193,#REF!,0))</f>
        <v>0</v>
      </c>
    </row>
    <row r="194" spans="1:22" ht="103.5" x14ac:dyDescent="0.25">
      <c r="A194" s="12">
        <f t="shared" si="10"/>
        <v>193</v>
      </c>
      <c r="B194" s="12" t="s">
        <v>1138</v>
      </c>
      <c r="C194" s="12" t="s">
        <v>1139</v>
      </c>
      <c r="D194" s="12" t="s">
        <v>1140</v>
      </c>
      <c r="E194" s="12" t="s">
        <v>1886</v>
      </c>
      <c r="F194" s="12" t="s">
        <v>1887</v>
      </c>
      <c r="G194" s="12" t="s">
        <v>1888</v>
      </c>
      <c r="H194" s="12" t="s">
        <v>1889</v>
      </c>
      <c r="I194" s="12" t="s">
        <v>1890</v>
      </c>
      <c r="J194" s="4" t="s">
        <v>55</v>
      </c>
      <c r="K194" s="4" t="s">
        <v>1498</v>
      </c>
      <c r="L194" s="4" t="s">
        <v>1661</v>
      </c>
      <c r="M194" s="4" t="s">
        <v>1500</v>
      </c>
      <c r="N194" s="4"/>
      <c r="O194" s="4"/>
      <c r="P194" s="4"/>
      <c r="Q194" s="2"/>
      <c r="R194" s="2" t="s">
        <v>1110</v>
      </c>
      <c r="S194" s="2" t="str">
        <f t="shared" si="12"/>
        <v>否</v>
      </c>
      <c r="T194" s="11" t="s">
        <v>302</v>
      </c>
      <c r="U194" s="10" t="str">
        <f t="shared" si="11"/>
        <v>SYS.OBSsetBucketPolicy</v>
      </c>
      <c r="V194" s="10" t="b">
        <f>ISNUMBER(MATCH(U194,#REF!,0))</f>
        <v>0</v>
      </c>
    </row>
    <row r="195" spans="1:22" ht="46" x14ac:dyDescent="0.25">
      <c r="A195" s="2">
        <f t="shared" ref="A195:A198" si="13">ROW()-1</f>
        <v>194</v>
      </c>
      <c r="B195" s="2" t="s">
        <v>1135</v>
      </c>
      <c r="C195" s="2" t="s">
        <v>1136</v>
      </c>
      <c r="D195" s="2" t="s">
        <v>1137</v>
      </c>
      <c r="E195" s="2" t="s">
        <v>1891</v>
      </c>
      <c r="F195" s="2" t="s">
        <v>1892</v>
      </c>
      <c r="G195" s="2" t="s">
        <v>1893</v>
      </c>
      <c r="H195" s="2" t="s">
        <v>1894</v>
      </c>
      <c r="I195" s="2" t="s">
        <v>1895</v>
      </c>
      <c r="J195" s="4" t="s">
        <v>55</v>
      </c>
      <c r="K195" s="4" t="s">
        <v>1498</v>
      </c>
      <c r="L195" s="4" t="s">
        <v>1499</v>
      </c>
      <c r="M195" s="4" t="s">
        <v>1500</v>
      </c>
      <c r="N195" s="4"/>
      <c r="O195" s="4"/>
      <c r="P195" s="4"/>
      <c r="Q195" s="2"/>
      <c r="R195" s="2" t="s">
        <v>1110</v>
      </c>
      <c r="S195" s="2" t="str">
        <f t="shared" ref="S195:S198" si="14">IF(L195=R195,"","否")</f>
        <v>否</v>
      </c>
      <c r="T195" s="11"/>
      <c r="U195" s="10" t="str">
        <f t="shared" ref="U195:U198" si="15">C195&amp;F195</f>
        <v>SYS.CSMSoperateDeletedSecret</v>
      </c>
      <c r="V195" s="10" t="b">
        <f>ISNUMBER(MATCH(U195,#REF!,0))</f>
        <v>0</v>
      </c>
    </row>
    <row r="196" spans="1:22" ht="57.5" x14ac:dyDescent="0.25">
      <c r="A196" s="12">
        <f t="shared" si="13"/>
        <v>195</v>
      </c>
      <c r="B196" s="12" t="s">
        <v>1220</v>
      </c>
      <c r="C196" s="12" t="s">
        <v>1221</v>
      </c>
      <c r="D196" s="12" t="s">
        <v>1222</v>
      </c>
      <c r="E196" s="12" t="s">
        <v>1896</v>
      </c>
      <c r="F196" s="12" t="s">
        <v>1897</v>
      </c>
      <c r="G196" s="12" t="s">
        <v>1896</v>
      </c>
      <c r="H196" s="12" t="s">
        <v>1898</v>
      </c>
      <c r="I196" s="12" t="s">
        <v>1899</v>
      </c>
      <c r="J196" s="4" t="s">
        <v>55</v>
      </c>
      <c r="K196" s="4" t="s">
        <v>1498</v>
      </c>
      <c r="L196" s="4" t="s">
        <v>1499</v>
      </c>
      <c r="M196" s="4" t="s">
        <v>1500</v>
      </c>
      <c r="N196" s="4"/>
      <c r="O196" s="4"/>
      <c r="P196" s="4"/>
      <c r="Q196" s="2"/>
      <c r="R196" s="2" t="s">
        <v>1110</v>
      </c>
      <c r="S196" s="2" t="str">
        <f t="shared" si="14"/>
        <v>否</v>
      </c>
      <c r="T196" s="11"/>
      <c r="U196" s="10" t="str">
        <f t="shared" si="15"/>
        <v>SYS.CBRagentOffline</v>
      </c>
      <c r="V196" s="10" t="b">
        <f>ISNUMBER(MATCH(U196,#REF!,0))</f>
        <v>0</v>
      </c>
    </row>
    <row r="197" spans="1:22" ht="46" x14ac:dyDescent="0.25">
      <c r="A197" s="12">
        <f t="shared" si="13"/>
        <v>196</v>
      </c>
      <c r="B197" s="12" t="s">
        <v>1220</v>
      </c>
      <c r="C197" s="12" t="s">
        <v>1221</v>
      </c>
      <c r="D197" s="12" t="s">
        <v>1222</v>
      </c>
      <c r="E197" s="12" t="s">
        <v>1900</v>
      </c>
      <c r="F197" s="12" t="s">
        <v>1901</v>
      </c>
      <c r="G197" s="12" t="s">
        <v>1900</v>
      </c>
      <c r="H197" s="12" t="s">
        <v>1902</v>
      </c>
      <c r="I197" s="12" t="s">
        <v>1903</v>
      </c>
      <c r="J197" s="4" t="s">
        <v>55</v>
      </c>
      <c r="K197" s="4" t="s">
        <v>1498</v>
      </c>
      <c r="L197" s="4" t="s">
        <v>1499</v>
      </c>
      <c r="M197" s="4" t="s">
        <v>1500</v>
      </c>
      <c r="N197" s="4"/>
      <c r="O197" s="4"/>
      <c r="P197" s="4"/>
      <c r="Q197" s="2"/>
      <c r="R197" s="2" t="s">
        <v>1518</v>
      </c>
      <c r="S197" s="2" t="str">
        <f t="shared" si="14"/>
        <v>否</v>
      </c>
      <c r="T197" s="11"/>
      <c r="U197" s="10" t="str">
        <f t="shared" si="15"/>
        <v>SYS.CBRbackupFailed</v>
      </c>
      <c r="V197" s="10" t="b">
        <f>ISNUMBER(MATCH(U197,#REF!,0))</f>
        <v>0</v>
      </c>
    </row>
    <row r="198" spans="1:22" ht="34.5" x14ac:dyDescent="0.25">
      <c r="A198" s="12">
        <f t="shared" si="13"/>
        <v>197</v>
      </c>
      <c r="B198" s="12" t="s">
        <v>1220</v>
      </c>
      <c r="C198" s="12" t="s">
        <v>1221</v>
      </c>
      <c r="D198" s="12" t="s">
        <v>1222</v>
      </c>
      <c r="E198" s="12" t="s">
        <v>1905</v>
      </c>
      <c r="F198" s="12" t="s">
        <v>1906</v>
      </c>
      <c r="G198" s="12" t="s">
        <v>1907</v>
      </c>
      <c r="H198" s="12" t="s">
        <v>1904</v>
      </c>
      <c r="I198" s="12" t="s">
        <v>1903</v>
      </c>
      <c r="J198" s="4" t="s">
        <v>55</v>
      </c>
      <c r="K198" s="4" t="s">
        <v>1498</v>
      </c>
      <c r="L198" s="4" t="s">
        <v>1518</v>
      </c>
      <c r="M198" s="4" t="s">
        <v>1500</v>
      </c>
      <c r="N198" s="4"/>
      <c r="O198" s="4"/>
      <c r="P198" s="4"/>
      <c r="Q198" s="2"/>
      <c r="R198" s="2" t="s">
        <v>1110</v>
      </c>
      <c r="S198" s="2" t="str">
        <f t="shared" si="14"/>
        <v>否</v>
      </c>
      <c r="T198" s="11"/>
      <c r="U198" s="10" t="str">
        <f t="shared" si="15"/>
        <v>SYS.CBRreplicationFailed</v>
      </c>
      <c r="V198" s="10" t="b">
        <f>ISNUMBER(MATCH(U198,#REF!,0))</f>
        <v>0</v>
      </c>
    </row>
    <row r="199" spans="1:22" ht="92" x14ac:dyDescent="0.25">
      <c r="A199" s="12">
        <f t="shared" ref="A199:A206" si="16">ROW()-1</f>
        <v>198</v>
      </c>
      <c r="B199" s="12" t="s">
        <v>1908</v>
      </c>
      <c r="C199" s="12" t="s">
        <v>1909</v>
      </c>
      <c r="D199" s="12" t="s">
        <v>1910</v>
      </c>
      <c r="E199" s="12" t="s">
        <v>1911</v>
      </c>
      <c r="F199" s="12" t="s">
        <v>1912</v>
      </c>
      <c r="G199" s="12" t="s">
        <v>1913</v>
      </c>
      <c r="H199" s="12" t="s">
        <v>1914</v>
      </c>
      <c r="I199" s="12" t="s">
        <v>1915</v>
      </c>
      <c r="J199" s="4" t="s">
        <v>55</v>
      </c>
      <c r="K199" s="4" t="s">
        <v>1498</v>
      </c>
      <c r="L199" s="4" t="s">
        <v>1499</v>
      </c>
      <c r="M199" s="4" t="s">
        <v>1500</v>
      </c>
      <c r="N199" s="4"/>
      <c r="O199" s="4"/>
      <c r="P199" s="4"/>
      <c r="Q199" s="2"/>
      <c r="R199" s="2" t="s">
        <v>1110</v>
      </c>
      <c r="S199" s="2" t="str">
        <f t="shared" ref="S199:S206" si="17">IF(L199=R199,"","否")</f>
        <v>否</v>
      </c>
      <c r="T199" s="11"/>
      <c r="U199" s="10" t="str">
        <f t="shared" ref="U199:U206" si="18">C199&amp;F199</f>
        <v>SYS.SecMasterengineException</v>
      </c>
      <c r="V199" s="10" t="b">
        <f>ISNUMBER(MATCH(U199,#REF!,0))</f>
        <v>0</v>
      </c>
    </row>
    <row r="200" spans="1:22" ht="57.5" x14ac:dyDescent="0.25">
      <c r="A200" s="12">
        <f t="shared" si="16"/>
        <v>199</v>
      </c>
      <c r="B200" s="12" t="s">
        <v>1908</v>
      </c>
      <c r="C200" s="12" t="s">
        <v>1909</v>
      </c>
      <c r="D200" s="12" t="s">
        <v>1910</v>
      </c>
      <c r="E200" s="12" t="s">
        <v>1916</v>
      </c>
      <c r="F200" s="12" t="s">
        <v>1917</v>
      </c>
      <c r="G200" s="12" t="s">
        <v>1918</v>
      </c>
      <c r="H200" s="12" t="s">
        <v>1919</v>
      </c>
      <c r="I200" s="12" t="s">
        <v>571</v>
      </c>
      <c r="J200" s="4" t="s">
        <v>55</v>
      </c>
      <c r="K200" s="4" t="s">
        <v>1498</v>
      </c>
      <c r="L200" s="4" t="s">
        <v>1518</v>
      </c>
      <c r="M200" s="4" t="s">
        <v>1500</v>
      </c>
      <c r="N200" s="4"/>
      <c r="O200" s="4"/>
      <c r="P200" s="4"/>
      <c r="Q200" s="2"/>
      <c r="R200" s="2" t="s">
        <v>1110</v>
      </c>
      <c r="S200" s="2" t="str">
        <f t="shared" si="17"/>
        <v>否</v>
      </c>
      <c r="T200" s="11"/>
      <c r="U200" s="10" t="str">
        <f t="shared" si="18"/>
        <v>SYS.SecMasterplaybookInstanceExecFailed</v>
      </c>
      <c r="V200" s="10" t="b">
        <f>ISNUMBER(MATCH(U200,#REF!,0))</f>
        <v>0</v>
      </c>
    </row>
    <row r="201" spans="1:22" ht="34.5" x14ac:dyDescent="0.25">
      <c r="A201" s="12">
        <f t="shared" si="16"/>
        <v>200</v>
      </c>
      <c r="B201" s="12" t="s">
        <v>1038</v>
      </c>
      <c r="C201" s="12" t="s">
        <v>1194</v>
      </c>
      <c r="D201" s="12" t="s">
        <v>1040</v>
      </c>
      <c r="E201" s="12" t="s">
        <v>1578</v>
      </c>
      <c r="F201" s="12" t="s">
        <v>1579</v>
      </c>
      <c r="G201" s="12" t="s">
        <v>1774</v>
      </c>
      <c r="H201" s="12" t="s">
        <v>1775</v>
      </c>
      <c r="I201" s="12" t="s">
        <v>1776</v>
      </c>
      <c r="J201" s="4" t="s">
        <v>55</v>
      </c>
      <c r="K201" s="4" t="s">
        <v>1498</v>
      </c>
      <c r="L201" s="4" t="s">
        <v>1499</v>
      </c>
      <c r="M201" s="4" t="s">
        <v>1500</v>
      </c>
      <c r="N201" s="4"/>
      <c r="O201" s="4"/>
      <c r="P201" s="4"/>
      <c r="Q201" s="2"/>
      <c r="R201" s="2" t="s">
        <v>1110</v>
      </c>
      <c r="S201" s="2" t="str">
        <f t="shared" si="17"/>
        <v>否</v>
      </c>
      <c r="T201" s="11" t="s">
        <v>302</v>
      </c>
      <c r="U201" s="10" t="str">
        <f t="shared" si="18"/>
        <v>SYS.ECSRoCELinkStatusDown</v>
      </c>
      <c r="V201" s="10" t="b">
        <f>ISNUMBER(MATCH(U201,#REF!,0))</f>
        <v>0</v>
      </c>
    </row>
    <row r="202" spans="1:22" ht="184" x14ac:dyDescent="0.25">
      <c r="A202" s="12">
        <f t="shared" si="16"/>
        <v>201</v>
      </c>
      <c r="B202" s="12" t="s">
        <v>1038</v>
      </c>
      <c r="C202" s="12" t="s">
        <v>1194</v>
      </c>
      <c r="D202" s="12" t="s">
        <v>1040</v>
      </c>
      <c r="E202" s="12" t="s">
        <v>1792</v>
      </c>
      <c r="F202" s="12" t="s">
        <v>1793</v>
      </c>
      <c r="G202" s="12" t="s">
        <v>1794</v>
      </c>
      <c r="H202" s="12" t="s">
        <v>1795</v>
      </c>
      <c r="I202" s="12" t="s">
        <v>1791</v>
      </c>
      <c r="J202" s="4" t="s">
        <v>55</v>
      </c>
      <c r="K202" s="4" t="s">
        <v>1498</v>
      </c>
      <c r="L202" s="4" t="s">
        <v>1518</v>
      </c>
      <c r="M202" s="4" t="s">
        <v>1500</v>
      </c>
      <c r="N202" s="4"/>
      <c r="O202" s="4"/>
      <c r="P202" s="4"/>
      <c r="Q202" s="2"/>
      <c r="R202" s="2" t="s">
        <v>1110</v>
      </c>
      <c r="S202" s="2" t="str">
        <f t="shared" si="17"/>
        <v>否</v>
      </c>
      <c r="T202" s="11" t="s">
        <v>302</v>
      </c>
      <c r="U202" s="10" t="str">
        <f t="shared" si="18"/>
        <v>SYS.ECSgpuDRAMUncorrectableEccError</v>
      </c>
      <c r="V202" s="10" t="b">
        <f>ISNUMBER(MATCH(U202,#REF!,0))</f>
        <v>0</v>
      </c>
    </row>
    <row r="203" spans="1:22" ht="46" x14ac:dyDescent="0.25">
      <c r="A203" s="12">
        <f t="shared" si="16"/>
        <v>202</v>
      </c>
      <c r="B203" s="12" t="s">
        <v>1038</v>
      </c>
      <c r="C203" s="12" t="s">
        <v>1194</v>
      </c>
      <c r="D203" s="12" t="s">
        <v>1040</v>
      </c>
      <c r="E203" s="12" t="s">
        <v>1920</v>
      </c>
      <c r="F203" s="12" t="s">
        <v>1921</v>
      </c>
      <c r="G203" s="12" t="s">
        <v>1922</v>
      </c>
      <c r="H203" s="12" t="s">
        <v>1923</v>
      </c>
      <c r="I203" s="12" t="s">
        <v>1924</v>
      </c>
      <c r="J203" s="4" t="s">
        <v>55</v>
      </c>
      <c r="K203" s="4" t="s">
        <v>1498</v>
      </c>
      <c r="L203" s="4" t="s">
        <v>1518</v>
      </c>
      <c r="M203" s="4" t="s">
        <v>1500</v>
      </c>
      <c r="N203" s="4"/>
      <c r="O203" s="4"/>
      <c r="P203" s="4"/>
      <c r="Q203" s="2"/>
      <c r="R203" s="2" t="s">
        <v>1110</v>
      </c>
      <c r="S203" s="2" t="str">
        <f t="shared" si="17"/>
        <v>否</v>
      </c>
      <c r="T203" s="11" t="s">
        <v>302</v>
      </c>
      <c r="U203" s="10" t="str">
        <f t="shared" si="18"/>
        <v>SYS.ECSDAVPSMICardNotFound</v>
      </c>
      <c r="V203" s="10" t="b">
        <f>ISNUMBER(MATCH(U203,#REF!,0))</f>
        <v>0</v>
      </c>
    </row>
    <row r="204" spans="1:22" ht="34.5" x14ac:dyDescent="0.25">
      <c r="A204" s="12">
        <f t="shared" si="16"/>
        <v>203</v>
      </c>
      <c r="B204" s="12" t="s">
        <v>1038</v>
      </c>
      <c r="C204" s="12" t="s">
        <v>1194</v>
      </c>
      <c r="D204" s="12" t="s">
        <v>1040</v>
      </c>
      <c r="E204" s="12" t="s">
        <v>1925</v>
      </c>
      <c r="F204" s="12" t="s">
        <v>1926</v>
      </c>
      <c r="G204" s="12" t="s">
        <v>1927</v>
      </c>
      <c r="H204" s="12" t="s">
        <v>1806</v>
      </c>
      <c r="I204" s="12" t="s">
        <v>1924</v>
      </c>
      <c r="J204" s="4" t="s">
        <v>55</v>
      </c>
      <c r="K204" s="4" t="s">
        <v>1498</v>
      </c>
      <c r="L204" s="4" t="s">
        <v>1518</v>
      </c>
      <c r="M204" s="4" t="s">
        <v>1500</v>
      </c>
      <c r="N204" s="4"/>
      <c r="O204" s="4"/>
      <c r="P204" s="4"/>
      <c r="Q204" s="2"/>
      <c r="R204" s="2" t="s">
        <v>1110</v>
      </c>
      <c r="S204" s="2" t="str">
        <f t="shared" si="17"/>
        <v>否</v>
      </c>
      <c r="T204" s="11" t="s">
        <v>302</v>
      </c>
      <c r="U204" s="10" t="str">
        <f t="shared" si="18"/>
        <v>SYS.ECSDAVPLspciCardNotFound</v>
      </c>
      <c r="V204" s="10" t="b">
        <f>ISNUMBER(MATCH(U204,#REF!,0))</f>
        <v>0</v>
      </c>
    </row>
    <row r="205" spans="1:22" ht="46" x14ac:dyDescent="0.25">
      <c r="A205" s="12">
        <f t="shared" si="16"/>
        <v>204</v>
      </c>
      <c r="B205" s="12" t="s">
        <v>1038</v>
      </c>
      <c r="C205" s="12" t="s">
        <v>1194</v>
      </c>
      <c r="D205" s="12" t="s">
        <v>1040</v>
      </c>
      <c r="E205" s="12" t="s">
        <v>1929</v>
      </c>
      <c r="F205" s="12" t="s">
        <v>1930</v>
      </c>
      <c r="G205" s="12" t="s">
        <v>1931</v>
      </c>
      <c r="H205" s="12" t="s">
        <v>1928</v>
      </c>
      <c r="I205" s="12" t="s">
        <v>1932</v>
      </c>
      <c r="J205" s="4" t="s">
        <v>55</v>
      </c>
      <c r="K205" s="4" t="s">
        <v>1498</v>
      </c>
      <c r="L205" s="4" t="s">
        <v>1518</v>
      </c>
      <c r="M205" s="4" t="s">
        <v>1500</v>
      </c>
      <c r="N205" s="4"/>
      <c r="O205" s="4"/>
      <c r="P205" s="4"/>
      <c r="Q205" s="2"/>
      <c r="R205" s="2" t="s">
        <v>1110</v>
      </c>
      <c r="S205" s="2" t="str">
        <f t="shared" si="17"/>
        <v>否</v>
      </c>
      <c r="T205" s="11" t="s">
        <v>302</v>
      </c>
      <c r="U205" s="10" t="str">
        <f t="shared" si="18"/>
        <v>SYS.ECSTemperatureOverSdLimit</v>
      </c>
      <c r="V205" s="10" t="b">
        <f>ISNUMBER(MATCH(U205,#REF!,0))</f>
        <v>0</v>
      </c>
    </row>
    <row r="206" spans="1:22" ht="57.5" x14ac:dyDescent="0.25">
      <c r="A206" s="12">
        <f t="shared" si="16"/>
        <v>205</v>
      </c>
      <c r="B206" s="12" t="s">
        <v>1038</v>
      </c>
      <c r="C206" s="12" t="s">
        <v>1194</v>
      </c>
      <c r="D206" s="12" t="s">
        <v>1040</v>
      </c>
      <c r="E206" s="12" t="s">
        <v>1933</v>
      </c>
      <c r="F206" s="12" t="s">
        <v>1934</v>
      </c>
      <c r="G206" s="12" t="s">
        <v>1935</v>
      </c>
      <c r="H206" s="12" t="s">
        <v>1936</v>
      </c>
      <c r="I206" s="12" t="s">
        <v>1937</v>
      </c>
      <c r="J206" s="4" t="s">
        <v>55</v>
      </c>
      <c r="K206" s="4" t="s">
        <v>1498</v>
      </c>
      <c r="L206" s="4" t="s">
        <v>1518</v>
      </c>
      <c r="M206" s="4" t="s">
        <v>1500</v>
      </c>
      <c r="N206" s="4"/>
      <c r="O206" s="4"/>
      <c r="P206" s="4"/>
      <c r="Q206" s="2"/>
      <c r="R206" s="2" t="s">
        <v>1110</v>
      </c>
      <c r="S206" s="2" t="str">
        <f t="shared" si="17"/>
        <v>否</v>
      </c>
      <c r="T206" s="11" t="s">
        <v>302</v>
      </c>
      <c r="U206" s="10" t="str">
        <f t="shared" si="18"/>
        <v>SYS.ECSDeviceCoreAbnormal</v>
      </c>
      <c r="V206" s="10" t="b">
        <f>ISNUMBER(MATCH(U206,#REF!,0))</f>
        <v>0</v>
      </c>
    </row>
    <row r="207" spans="1:22" ht="92" x14ac:dyDescent="0.25">
      <c r="A207" s="12">
        <f t="shared" ref="A207:A216" si="19">ROW()-1</f>
        <v>206</v>
      </c>
      <c r="B207" s="12" t="s">
        <v>1038</v>
      </c>
      <c r="C207" s="12" t="s">
        <v>1194</v>
      </c>
      <c r="D207" s="12" t="s">
        <v>1040</v>
      </c>
      <c r="E207" s="12" t="s">
        <v>1841</v>
      </c>
      <c r="F207" s="12" t="s">
        <v>1842</v>
      </c>
      <c r="G207" s="12" t="s">
        <v>1843</v>
      </c>
      <c r="H207" s="12" t="s">
        <v>1938</v>
      </c>
      <c r="I207" s="12" t="s">
        <v>1845</v>
      </c>
      <c r="J207" s="4" t="s">
        <v>55</v>
      </c>
      <c r="K207" s="4" t="s">
        <v>1498</v>
      </c>
      <c r="L207" s="4" t="s">
        <v>1518</v>
      </c>
      <c r="M207" s="4" t="s">
        <v>1500</v>
      </c>
      <c r="N207" s="4"/>
      <c r="O207" s="4"/>
      <c r="P207" s="4"/>
      <c r="Q207" s="2"/>
      <c r="R207" s="2" t="s">
        <v>1110</v>
      </c>
      <c r="S207" s="2" t="str">
        <f t="shared" ref="S207:S216" si="20">IF(L207=R207,"","否")</f>
        <v>否</v>
      </c>
      <c r="T207" s="11" t="s">
        <v>302</v>
      </c>
      <c r="U207" s="10" t="str">
        <f t="shared" ref="U207:U216" si="21">C207&amp;F207</f>
        <v>SYS.ECSgpuDriverLinkFailureAlarm</v>
      </c>
      <c r="V207" s="10" t="b">
        <f>ISNUMBER(MATCH(U207,#REF!,0))</f>
        <v>0</v>
      </c>
    </row>
    <row r="208" spans="1:22" ht="57.5" x14ac:dyDescent="0.25">
      <c r="A208" s="12">
        <f t="shared" si="19"/>
        <v>207</v>
      </c>
      <c r="B208" s="12" t="s">
        <v>1038</v>
      </c>
      <c r="C208" s="12" t="s">
        <v>1194</v>
      </c>
      <c r="D208" s="12" t="s">
        <v>1040</v>
      </c>
      <c r="E208" s="12" t="s">
        <v>1846</v>
      </c>
      <c r="F208" s="12" t="s">
        <v>1847</v>
      </c>
      <c r="G208" s="12" t="s">
        <v>1848</v>
      </c>
      <c r="H208" s="12" t="s">
        <v>1808</v>
      </c>
      <c r="I208" s="12" t="s">
        <v>1849</v>
      </c>
      <c r="J208" s="4" t="s">
        <v>55</v>
      </c>
      <c r="K208" s="4" t="s">
        <v>1498</v>
      </c>
      <c r="L208" s="4" t="s">
        <v>1518</v>
      </c>
      <c r="M208" s="4" t="s">
        <v>1500</v>
      </c>
      <c r="N208" s="4"/>
      <c r="O208" s="4"/>
      <c r="P208" s="4"/>
      <c r="Q208" s="2"/>
      <c r="R208" s="2" t="s">
        <v>1110</v>
      </c>
      <c r="S208" s="2" t="str">
        <f t="shared" si="20"/>
        <v>否</v>
      </c>
      <c r="T208" s="11" t="s">
        <v>302</v>
      </c>
      <c r="U208" s="10" t="str">
        <f t="shared" si="21"/>
        <v>SYS.ECSgpuPcieLinkFailureAlarm</v>
      </c>
      <c r="V208" s="10" t="b">
        <f>ISNUMBER(MATCH(U208,#REF!,0))</f>
        <v>0</v>
      </c>
    </row>
    <row r="209" spans="1:22" ht="69" x14ac:dyDescent="0.25">
      <c r="A209" s="12">
        <f t="shared" si="19"/>
        <v>208</v>
      </c>
      <c r="B209" s="12" t="s">
        <v>1038</v>
      </c>
      <c r="C209" s="12" t="s">
        <v>1194</v>
      </c>
      <c r="D209" s="12" t="s">
        <v>1040</v>
      </c>
      <c r="E209" s="12" t="s">
        <v>1850</v>
      </c>
      <c r="F209" s="12" t="s">
        <v>1851</v>
      </c>
      <c r="G209" s="12" t="s">
        <v>1852</v>
      </c>
      <c r="H209" s="12" t="s">
        <v>1808</v>
      </c>
      <c r="I209" s="12" t="s">
        <v>1853</v>
      </c>
      <c r="J209" s="4" t="s">
        <v>55</v>
      </c>
      <c r="K209" s="4" t="s">
        <v>1498</v>
      </c>
      <c r="L209" s="4" t="s">
        <v>1518</v>
      </c>
      <c r="M209" s="4" t="s">
        <v>1500</v>
      </c>
      <c r="N209" s="4"/>
      <c r="O209" s="4"/>
      <c r="P209" s="4"/>
      <c r="Q209" s="2"/>
      <c r="R209" s="2" t="s">
        <v>1110</v>
      </c>
      <c r="S209" s="2" t="str">
        <f t="shared" si="20"/>
        <v>否</v>
      </c>
      <c r="T209" s="11" t="s">
        <v>302</v>
      </c>
      <c r="U209" s="10" t="str">
        <f t="shared" si="21"/>
        <v>SYS.ECSvmLostGpuAlarm</v>
      </c>
      <c r="V209" s="10" t="b">
        <f>ISNUMBER(MATCH(U209,#REF!,0))</f>
        <v>0</v>
      </c>
    </row>
    <row r="210" spans="1:22" ht="138" x14ac:dyDescent="0.25">
      <c r="A210" s="12">
        <f t="shared" si="19"/>
        <v>209</v>
      </c>
      <c r="B210" s="12" t="s">
        <v>1038</v>
      </c>
      <c r="C210" s="12" t="s">
        <v>1194</v>
      </c>
      <c r="D210" s="12" t="s">
        <v>1040</v>
      </c>
      <c r="E210" s="12" t="s">
        <v>1940</v>
      </c>
      <c r="F210" s="12" t="s">
        <v>1941</v>
      </c>
      <c r="G210" s="12" t="s">
        <v>1942</v>
      </c>
      <c r="H210" s="12" t="s">
        <v>1943</v>
      </c>
      <c r="I210" s="12" t="s">
        <v>1944</v>
      </c>
      <c r="J210" s="4" t="s">
        <v>55</v>
      </c>
      <c r="K210" s="4" t="s">
        <v>1498</v>
      </c>
      <c r="L210" s="4" t="s">
        <v>1518</v>
      </c>
      <c r="M210" s="4" t="s">
        <v>1500</v>
      </c>
      <c r="N210" s="4"/>
      <c r="O210" s="4"/>
      <c r="P210" s="4"/>
      <c r="Q210" s="2"/>
      <c r="R210" s="2" t="s">
        <v>1499</v>
      </c>
      <c r="S210" s="2" t="str">
        <f t="shared" si="20"/>
        <v>否</v>
      </c>
      <c r="T210" s="11" t="s">
        <v>302</v>
      </c>
      <c r="U210" s="10" t="str">
        <f t="shared" si="21"/>
        <v>SYS.ECSstartAutoRecovery</v>
      </c>
      <c r="V210" s="10" t="b">
        <f>ISNUMBER(MATCH(U210,#REF!,0))</f>
        <v>0</v>
      </c>
    </row>
    <row r="211" spans="1:22" ht="57.5" x14ac:dyDescent="0.25">
      <c r="A211" s="12">
        <f t="shared" si="19"/>
        <v>210</v>
      </c>
      <c r="B211" s="12" t="s">
        <v>1038</v>
      </c>
      <c r="C211" s="12" t="s">
        <v>1194</v>
      </c>
      <c r="D211" s="12" t="s">
        <v>1040</v>
      </c>
      <c r="E211" s="12" t="s">
        <v>1945</v>
      </c>
      <c r="F211" s="12" t="s">
        <v>1946</v>
      </c>
      <c r="G211" s="12" t="s">
        <v>1947</v>
      </c>
      <c r="H211" s="12" t="s">
        <v>1939</v>
      </c>
      <c r="I211" s="12" t="s">
        <v>1948</v>
      </c>
      <c r="J211" s="4" t="s">
        <v>55</v>
      </c>
      <c r="K211" s="4" t="s">
        <v>1498</v>
      </c>
      <c r="L211" s="4" t="s">
        <v>1661</v>
      </c>
      <c r="M211" s="4" t="s">
        <v>1500</v>
      </c>
      <c r="N211" s="4"/>
      <c r="O211" s="4"/>
      <c r="P211" s="4"/>
      <c r="Q211" s="2"/>
      <c r="R211" s="2" t="s">
        <v>1499</v>
      </c>
      <c r="S211" s="2" t="str">
        <f t="shared" si="20"/>
        <v>否</v>
      </c>
      <c r="T211" s="11" t="s">
        <v>302</v>
      </c>
      <c r="U211" s="10" t="str">
        <f t="shared" si="21"/>
        <v>SYS.ECSendAutoRecovery</v>
      </c>
      <c r="V211" s="10" t="b">
        <f>ISNUMBER(MATCH(U211,#REF!,0))</f>
        <v>0</v>
      </c>
    </row>
    <row r="212" spans="1:22" ht="46" x14ac:dyDescent="0.25">
      <c r="A212" s="12">
        <f t="shared" si="19"/>
        <v>211</v>
      </c>
      <c r="B212" s="12" t="s">
        <v>1038</v>
      </c>
      <c r="C212" s="12" t="s">
        <v>1194</v>
      </c>
      <c r="D212" s="12" t="s">
        <v>1040</v>
      </c>
      <c r="E212" s="12" t="s">
        <v>1949</v>
      </c>
      <c r="F212" s="12" t="s">
        <v>1950</v>
      </c>
      <c r="G212" s="12" t="s">
        <v>1951</v>
      </c>
      <c r="H212" s="12" t="s">
        <v>1952</v>
      </c>
      <c r="I212" s="12" t="s">
        <v>1953</v>
      </c>
      <c r="J212" s="4" t="s">
        <v>55</v>
      </c>
      <c r="K212" s="4" t="s">
        <v>1498</v>
      </c>
      <c r="L212" s="4" t="s">
        <v>1518</v>
      </c>
      <c r="M212" s="4" t="s">
        <v>1500</v>
      </c>
      <c r="N212" s="4"/>
      <c r="O212" s="4"/>
      <c r="P212" s="4"/>
      <c r="Q212" s="2"/>
      <c r="R212" s="2" t="s">
        <v>1499</v>
      </c>
      <c r="S212" s="2" t="str">
        <f t="shared" si="20"/>
        <v>否</v>
      </c>
      <c r="T212" s="11" t="s">
        <v>302</v>
      </c>
      <c r="U212" s="10" t="str">
        <f t="shared" si="21"/>
        <v>SYS.ECSfaultAutoRecovery</v>
      </c>
      <c r="V212" s="10" t="b">
        <f>ISNUMBER(MATCH(U212,#REF!,0))</f>
        <v>0</v>
      </c>
    </row>
    <row r="213" spans="1:22" ht="103.5" x14ac:dyDescent="0.25">
      <c r="A213" s="12">
        <f t="shared" si="19"/>
        <v>212</v>
      </c>
      <c r="B213" s="12" t="s">
        <v>1038</v>
      </c>
      <c r="C213" s="12" t="s">
        <v>1194</v>
      </c>
      <c r="D213" s="12" t="s">
        <v>1040</v>
      </c>
      <c r="E213" s="12" t="s">
        <v>1954</v>
      </c>
      <c r="F213" s="12" t="s">
        <v>1955</v>
      </c>
      <c r="G213" s="12" t="s">
        <v>1956</v>
      </c>
      <c r="H213" s="12" t="s">
        <v>1957</v>
      </c>
      <c r="I213" s="12" t="s">
        <v>1729</v>
      </c>
      <c r="J213" s="4" t="s">
        <v>55</v>
      </c>
      <c r="K213" s="4" t="s">
        <v>1498</v>
      </c>
      <c r="L213" s="4" t="s">
        <v>1499</v>
      </c>
      <c r="M213" s="4" t="s">
        <v>1500</v>
      </c>
      <c r="N213" s="4"/>
      <c r="O213" s="4"/>
      <c r="P213" s="4"/>
      <c r="Q213" s="2"/>
      <c r="R213" s="2" t="s">
        <v>1518</v>
      </c>
      <c r="S213" s="2" t="str">
        <f t="shared" si="20"/>
        <v>否</v>
      </c>
      <c r="T213" s="11" t="s">
        <v>302</v>
      </c>
      <c r="U213" s="10" t="str">
        <f t="shared" si="21"/>
        <v>SYS.ECSFPGALinkFault</v>
      </c>
      <c r="V213" s="10" t="b">
        <f>ISNUMBER(MATCH(U213,#REF!,0))</f>
        <v>0</v>
      </c>
    </row>
    <row r="214" spans="1:22" ht="92" x14ac:dyDescent="0.25">
      <c r="A214" s="12">
        <f t="shared" si="19"/>
        <v>213</v>
      </c>
      <c r="B214" s="12" t="s">
        <v>1038</v>
      </c>
      <c r="C214" s="12" t="s">
        <v>1194</v>
      </c>
      <c r="D214" s="12" t="s">
        <v>1040</v>
      </c>
      <c r="E214" s="12" t="s">
        <v>1958</v>
      </c>
      <c r="F214" s="12" t="s">
        <v>1959</v>
      </c>
      <c r="G214" s="12" t="s">
        <v>1960</v>
      </c>
      <c r="H214" s="12" t="s">
        <v>1961</v>
      </c>
      <c r="I214" s="12" t="s">
        <v>1962</v>
      </c>
      <c r="J214" s="4" t="s">
        <v>55</v>
      </c>
      <c r="K214" s="4" t="s">
        <v>1498</v>
      </c>
      <c r="L214" s="4" t="s">
        <v>1499</v>
      </c>
      <c r="M214" s="4" t="s">
        <v>1500</v>
      </c>
      <c r="N214" s="4"/>
      <c r="O214" s="4"/>
      <c r="P214" s="4"/>
      <c r="Q214" s="2"/>
      <c r="R214" s="2" t="s">
        <v>1518</v>
      </c>
      <c r="S214" s="2" t="str">
        <f t="shared" si="20"/>
        <v>否</v>
      </c>
      <c r="T214" s="11" t="s">
        <v>302</v>
      </c>
      <c r="U214" s="10" t="str">
        <f t="shared" si="21"/>
        <v>SYS.ECSVMFaultsByHostProcessExceptions</v>
      </c>
      <c r="V214" s="10" t="b">
        <f>ISNUMBER(MATCH(U214,#REF!,0))</f>
        <v>0</v>
      </c>
    </row>
    <row r="215" spans="1:22" ht="103.5" x14ac:dyDescent="0.25">
      <c r="A215" s="12">
        <f t="shared" si="19"/>
        <v>214</v>
      </c>
      <c r="B215" s="12" t="s">
        <v>1038</v>
      </c>
      <c r="C215" s="12" t="s">
        <v>1194</v>
      </c>
      <c r="D215" s="12" t="s">
        <v>1040</v>
      </c>
      <c r="E215" s="12" t="s">
        <v>1963</v>
      </c>
      <c r="F215" s="12" t="s">
        <v>1964</v>
      </c>
      <c r="G215" s="12" t="s">
        <v>1965</v>
      </c>
      <c r="H215" s="12" t="s">
        <v>1952</v>
      </c>
      <c r="I215" s="12" t="s">
        <v>1966</v>
      </c>
      <c r="J215" s="4" t="s">
        <v>55</v>
      </c>
      <c r="K215" s="4" t="s">
        <v>1498</v>
      </c>
      <c r="L215" s="4" t="s">
        <v>1518</v>
      </c>
      <c r="M215" s="4" t="s">
        <v>1500</v>
      </c>
      <c r="N215" s="4"/>
      <c r="O215" s="4"/>
      <c r="P215" s="4"/>
      <c r="Q215" s="2"/>
      <c r="R215" s="2" t="s">
        <v>1518</v>
      </c>
      <c r="S215" s="2" t="str">
        <f t="shared" si="20"/>
        <v/>
      </c>
      <c r="T215" s="11" t="s">
        <v>302</v>
      </c>
      <c r="U215" s="10" t="str">
        <f t="shared" si="21"/>
        <v>SYS.ECShostMayCrash</v>
      </c>
      <c r="V215" s="10" t="b">
        <f>ISNUMBER(MATCH(U215,#REF!,0))</f>
        <v>0</v>
      </c>
    </row>
    <row r="216" spans="1:22" ht="57.5" x14ac:dyDescent="0.25">
      <c r="A216" s="12">
        <f t="shared" si="19"/>
        <v>215</v>
      </c>
      <c r="B216" s="12" t="s">
        <v>1038</v>
      </c>
      <c r="C216" s="12" t="s">
        <v>1194</v>
      </c>
      <c r="D216" s="12" t="s">
        <v>1040</v>
      </c>
      <c r="E216" s="12" t="s">
        <v>1571</v>
      </c>
      <c r="F216" s="12" t="s">
        <v>1816</v>
      </c>
      <c r="G216" s="12" t="s">
        <v>1817</v>
      </c>
      <c r="H216" s="12" t="s">
        <v>1818</v>
      </c>
      <c r="I216" s="12" t="s">
        <v>1819</v>
      </c>
      <c r="J216" s="4" t="s">
        <v>55</v>
      </c>
      <c r="K216" s="4" t="s">
        <v>1498</v>
      </c>
      <c r="L216" s="4" t="s">
        <v>1518</v>
      </c>
      <c r="M216" s="4" t="s">
        <v>1500</v>
      </c>
      <c r="N216" s="4"/>
      <c r="O216" s="4"/>
      <c r="P216" s="4"/>
      <c r="Q216" s="2"/>
      <c r="R216" s="2" t="s">
        <v>1110</v>
      </c>
      <c r="S216" s="2" t="str">
        <f t="shared" si="20"/>
        <v>否</v>
      </c>
      <c r="T216" s="11" t="s">
        <v>302</v>
      </c>
      <c r="U216" s="10" t="str">
        <f t="shared" si="21"/>
        <v>SYS.ECSUncorrectableEccErrorCount</v>
      </c>
      <c r="V216" s="10" t="b">
        <f>ISNUMBER(MATCH(U216,#REF!,0))</f>
        <v>0</v>
      </c>
    </row>
    <row r="217" spans="1:22" ht="103.5" x14ac:dyDescent="0.25">
      <c r="A217" s="12">
        <f t="shared" ref="A217:A222" si="22">ROW()-1</f>
        <v>216</v>
      </c>
      <c r="B217" s="12" t="s">
        <v>975</v>
      </c>
      <c r="C217" s="12" t="s">
        <v>976</v>
      </c>
      <c r="D217" s="12" t="s">
        <v>965</v>
      </c>
      <c r="E217" s="12" t="s">
        <v>1967</v>
      </c>
      <c r="F217" s="12" t="s">
        <v>1968</v>
      </c>
      <c r="G217" s="12" t="s">
        <v>1969</v>
      </c>
      <c r="H217" s="12" t="s">
        <v>1970</v>
      </c>
      <c r="I217" s="12" t="s">
        <v>1971</v>
      </c>
      <c r="J217" s="4" t="s">
        <v>55</v>
      </c>
      <c r="K217" s="4" t="s">
        <v>1498</v>
      </c>
      <c r="L217" s="14" t="s">
        <v>1499</v>
      </c>
      <c r="M217" s="4" t="s">
        <v>1500</v>
      </c>
      <c r="N217" s="14"/>
      <c r="O217" s="14"/>
      <c r="P217" s="14"/>
      <c r="Q217" s="2"/>
      <c r="R217" s="2" t="s">
        <v>1110</v>
      </c>
      <c r="S217" s="2" t="str">
        <f t="shared" ref="S217:S222" si="23">IF(L217=R217,"","否")</f>
        <v>否</v>
      </c>
      <c r="T217" s="11" t="s">
        <v>152</v>
      </c>
      <c r="U217" s="10" t="str">
        <f t="shared" ref="U217:U222" si="24">C217&amp;F217</f>
        <v>SYS.RDSmysqlConnectionsFull</v>
      </c>
      <c r="V217" s="10" t="b">
        <f>ISNUMBER(MATCH(U217,#REF!,0))</f>
        <v>0</v>
      </c>
    </row>
    <row r="218" spans="1:22" ht="57.5" x14ac:dyDescent="0.25">
      <c r="A218" s="12">
        <f t="shared" si="22"/>
        <v>217</v>
      </c>
      <c r="B218" s="12" t="s">
        <v>975</v>
      </c>
      <c r="C218" s="12" t="s">
        <v>976</v>
      </c>
      <c r="D218" s="12" t="s">
        <v>965</v>
      </c>
      <c r="E218" s="12" t="s">
        <v>1972</v>
      </c>
      <c r="F218" s="12" t="s">
        <v>1973</v>
      </c>
      <c r="G218" s="12" t="s">
        <v>1974</v>
      </c>
      <c r="H218" s="12" t="s">
        <v>1975</v>
      </c>
      <c r="I218" s="12" t="s">
        <v>1976</v>
      </c>
      <c r="J218" s="4" t="s">
        <v>55</v>
      </c>
      <c r="K218" s="4" t="s">
        <v>1498</v>
      </c>
      <c r="L218" s="14" t="s">
        <v>1518</v>
      </c>
      <c r="M218" s="4" t="s">
        <v>1500</v>
      </c>
      <c r="N218" s="14"/>
      <c r="O218" s="14"/>
      <c r="P218" s="14"/>
      <c r="Q218" s="2"/>
      <c r="R218" s="2" t="s">
        <v>1110</v>
      </c>
      <c r="S218" s="2" t="str">
        <f t="shared" si="23"/>
        <v>否</v>
      </c>
      <c r="T218" s="11" t="s">
        <v>152</v>
      </c>
      <c r="U218" s="10" t="str">
        <f t="shared" si="24"/>
        <v>SYS.RDSmysqlConnectionsFullRecovered</v>
      </c>
      <c r="V218" s="10" t="b">
        <f>ISNUMBER(MATCH(U218,#REF!,0))</f>
        <v>0</v>
      </c>
    </row>
    <row r="219" spans="1:22" ht="230" x14ac:dyDescent="0.25">
      <c r="A219" s="12">
        <f t="shared" si="22"/>
        <v>218</v>
      </c>
      <c r="B219" s="12" t="s">
        <v>975</v>
      </c>
      <c r="C219" s="12" t="s">
        <v>976</v>
      </c>
      <c r="D219" s="12" t="s">
        <v>965</v>
      </c>
      <c r="E219" s="12" t="s">
        <v>1977</v>
      </c>
      <c r="F219" s="12" t="s">
        <v>1978</v>
      </c>
      <c r="G219" s="12" t="s">
        <v>1979</v>
      </c>
      <c r="H219" s="12" t="s">
        <v>1980</v>
      </c>
      <c r="I219" s="12" t="s">
        <v>1981</v>
      </c>
      <c r="J219" s="4" t="s">
        <v>55</v>
      </c>
      <c r="K219" s="4" t="s">
        <v>1498</v>
      </c>
      <c r="L219" s="14" t="s">
        <v>1499</v>
      </c>
      <c r="M219" s="4" t="s">
        <v>1500</v>
      </c>
      <c r="N219" s="14"/>
      <c r="O219" s="14"/>
      <c r="P219" s="14"/>
      <c r="Q219" s="2"/>
      <c r="R219" s="2" t="s">
        <v>1110</v>
      </c>
      <c r="S219" s="2" t="str">
        <f t="shared" si="23"/>
        <v>否</v>
      </c>
      <c r="T219" s="11" t="s">
        <v>152</v>
      </c>
      <c r="U219" s="10" t="str">
        <f t="shared" si="24"/>
        <v>SYS.RDShighLoadInstanceConnectionsAbnormal</v>
      </c>
      <c r="V219" s="10" t="b">
        <f>ISNUMBER(MATCH(U219,#REF!,0))</f>
        <v>0</v>
      </c>
    </row>
    <row r="220" spans="1:22" ht="69" x14ac:dyDescent="0.25">
      <c r="A220" s="12">
        <f t="shared" si="22"/>
        <v>219</v>
      </c>
      <c r="B220" s="12" t="s">
        <v>975</v>
      </c>
      <c r="C220" s="12" t="s">
        <v>976</v>
      </c>
      <c r="D220" s="12" t="s">
        <v>965</v>
      </c>
      <c r="E220" s="12" t="s">
        <v>1982</v>
      </c>
      <c r="F220" s="12" t="s">
        <v>1983</v>
      </c>
      <c r="G220" s="12" t="s">
        <v>1984</v>
      </c>
      <c r="H220" s="12" t="s">
        <v>1985</v>
      </c>
      <c r="I220" s="12" t="s">
        <v>1986</v>
      </c>
      <c r="J220" s="4" t="s">
        <v>55</v>
      </c>
      <c r="K220" s="4" t="s">
        <v>1498</v>
      </c>
      <c r="L220" s="14" t="s">
        <v>1518</v>
      </c>
      <c r="M220" s="4" t="s">
        <v>1500</v>
      </c>
      <c r="N220" s="14"/>
      <c r="O220" s="14"/>
      <c r="P220" s="14"/>
      <c r="Q220" s="2"/>
      <c r="R220" s="2" t="s">
        <v>1110</v>
      </c>
      <c r="S220" s="2" t="str">
        <f t="shared" si="23"/>
        <v>否</v>
      </c>
      <c r="T220" s="11" t="s">
        <v>152</v>
      </c>
      <c r="U220" s="10" t="str">
        <f t="shared" si="24"/>
        <v>SYS.RDShighLoadInstanceConnectionsAbnormalRevocered</v>
      </c>
      <c r="V220" s="10" t="b">
        <f>ISNUMBER(MATCH(U220,#REF!,0))</f>
        <v>0</v>
      </c>
    </row>
    <row r="221" spans="1:22" ht="57.5" x14ac:dyDescent="0.25">
      <c r="A221" s="12">
        <f t="shared" si="22"/>
        <v>220</v>
      </c>
      <c r="B221" s="12" t="s">
        <v>975</v>
      </c>
      <c r="C221" s="12" t="s">
        <v>976</v>
      </c>
      <c r="D221" s="12" t="s">
        <v>965</v>
      </c>
      <c r="E221" s="12" t="s">
        <v>1987</v>
      </c>
      <c r="F221" s="12" t="s">
        <v>1988</v>
      </c>
      <c r="G221" s="13" t="s">
        <v>1989</v>
      </c>
      <c r="H221" s="13" t="s">
        <v>1990</v>
      </c>
      <c r="I221" s="13" t="s">
        <v>1991</v>
      </c>
      <c r="J221" s="4" t="s">
        <v>55</v>
      </c>
      <c r="K221" s="4" t="s">
        <v>1498</v>
      </c>
      <c r="L221" s="14" t="s">
        <v>1518</v>
      </c>
      <c r="M221" s="4" t="s">
        <v>1500</v>
      </c>
      <c r="N221" s="14"/>
      <c r="O221" s="14"/>
      <c r="P221" s="14"/>
      <c r="Q221" s="2"/>
      <c r="R221" s="2" t="s">
        <v>1110</v>
      </c>
      <c r="S221" s="2" t="str">
        <f t="shared" si="23"/>
        <v>否</v>
      </c>
      <c r="T221" s="11" t="s">
        <v>302</v>
      </c>
      <c r="U221" s="10" t="str">
        <f t="shared" si="24"/>
        <v>SYS.RDSmssqlReplicationError</v>
      </c>
      <c r="V221" s="10" t="b">
        <f>ISNUMBER(MATCH(U221,#REF!,0))</f>
        <v>0</v>
      </c>
    </row>
    <row r="222" spans="1:22" ht="23" x14ac:dyDescent="0.25">
      <c r="A222" s="12">
        <f t="shared" si="22"/>
        <v>221</v>
      </c>
      <c r="B222" s="12" t="s">
        <v>975</v>
      </c>
      <c r="C222" s="12" t="s">
        <v>976</v>
      </c>
      <c r="D222" s="12" t="s">
        <v>965</v>
      </c>
      <c r="E222" s="12" t="s">
        <v>1992</v>
      </c>
      <c r="F222" s="12" t="s">
        <v>1993</v>
      </c>
      <c r="G222" s="12" t="s">
        <v>1992</v>
      </c>
      <c r="H222" s="12" t="s">
        <v>571</v>
      </c>
      <c r="I222" s="12" t="s">
        <v>571</v>
      </c>
      <c r="J222" s="4" t="s">
        <v>55</v>
      </c>
      <c r="K222" s="4" t="s">
        <v>1498</v>
      </c>
      <c r="L222" s="14" t="s">
        <v>1518</v>
      </c>
      <c r="M222" s="4" t="s">
        <v>1500</v>
      </c>
      <c r="N222" s="14"/>
      <c r="O222" s="14"/>
      <c r="P222" s="14"/>
      <c r="Q222" s="2"/>
      <c r="R222" s="2" t="s">
        <v>1110</v>
      </c>
      <c r="S222" s="2" t="str">
        <f t="shared" si="23"/>
        <v>否</v>
      </c>
      <c r="T222" s="11" t="s">
        <v>1519</v>
      </c>
      <c r="U222" s="10" t="str">
        <f t="shared" si="24"/>
        <v>SYS.RDSresetPassword</v>
      </c>
      <c r="V222" s="10" t="b">
        <f>ISNUMBER(MATCH(U222,#REF!,0))</f>
        <v>0</v>
      </c>
    </row>
    <row r="223" spans="1:22" ht="23" x14ac:dyDescent="0.25">
      <c r="A223" s="12">
        <f t="shared" ref="A223:A239" si="25">ROW()-1</f>
        <v>222</v>
      </c>
      <c r="B223" s="12" t="s">
        <v>975</v>
      </c>
      <c r="C223" s="12" t="s">
        <v>976</v>
      </c>
      <c r="D223" s="12" t="s">
        <v>965</v>
      </c>
      <c r="E223" s="12" t="s">
        <v>1994</v>
      </c>
      <c r="F223" s="12" t="s">
        <v>1995</v>
      </c>
      <c r="G223" s="12" t="s">
        <v>1994</v>
      </c>
      <c r="H223" s="12" t="s">
        <v>571</v>
      </c>
      <c r="I223" s="12" t="s">
        <v>571</v>
      </c>
      <c r="J223" s="4" t="s">
        <v>55</v>
      </c>
      <c r="K223" s="4" t="s">
        <v>1498</v>
      </c>
      <c r="L223" s="14" t="s">
        <v>1518</v>
      </c>
      <c r="M223" s="4" t="s">
        <v>1500</v>
      </c>
      <c r="N223" s="14"/>
      <c r="O223" s="14"/>
      <c r="P223" s="14"/>
      <c r="Q223" s="2"/>
      <c r="R223" s="2" t="s">
        <v>1110</v>
      </c>
      <c r="S223" s="2" t="str">
        <f t="shared" ref="S223:S232" si="26">IF(L223=R223,"","否")</f>
        <v>否</v>
      </c>
      <c r="T223" s="11" t="s">
        <v>1519</v>
      </c>
      <c r="U223" s="10" t="str">
        <f t="shared" ref="U223:U239" si="27">C223&amp;F223</f>
        <v>SYS.RDSchangeInstancePort</v>
      </c>
      <c r="V223" s="10" t="b">
        <f>ISNUMBER(MATCH(U223,#REF!,0))</f>
        <v>0</v>
      </c>
    </row>
    <row r="224" spans="1:22" ht="126.5" x14ac:dyDescent="0.25">
      <c r="A224" s="12">
        <f t="shared" si="25"/>
        <v>223</v>
      </c>
      <c r="B224" s="12" t="s">
        <v>975</v>
      </c>
      <c r="C224" s="12" t="s">
        <v>976</v>
      </c>
      <c r="D224" s="12" t="s">
        <v>965</v>
      </c>
      <c r="E224" s="12" t="s">
        <v>1673</v>
      </c>
      <c r="F224" s="12" t="s">
        <v>1674</v>
      </c>
      <c r="G224" s="12" t="s">
        <v>1996</v>
      </c>
      <c r="H224" s="12" t="s">
        <v>1997</v>
      </c>
      <c r="I224" s="12" t="s">
        <v>1599</v>
      </c>
      <c r="J224" s="4" t="s">
        <v>55</v>
      </c>
      <c r="K224" s="4" t="s">
        <v>1498</v>
      </c>
      <c r="L224" s="14" t="s">
        <v>1499</v>
      </c>
      <c r="M224" s="4" t="s">
        <v>1500</v>
      </c>
      <c r="N224" s="14"/>
      <c r="O224" s="14"/>
      <c r="P224" s="14"/>
      <c r="Q224" s="2"/>
      <c r="R224" s="2" t="s">
        <v>1499</v>
      </c>
      <c r="S224" s="2" t="str">
        <f t="shared" si="26"/>
        <v/>
      </c>
      <c r="T224" s="11" t="s">
        <v>302</v>
      </c>
      <c r="U224" s="10" t="str">
        <f t="shared" si="27"/>
        <v>SYS.RDSactiveStandBySwitchFailed</v>
      </c>
      <c r="V224" s="10" t="b">
        <f>ISNUMBER(MATCH(U224,#REF!,0))</f>
        <v>0</v>
      </c>
    </row>
    <row r="225" spans="1:22" ht="207" x14ac:dyDescent="0.25">
      <c r="A225" s="12">
        <f t="shared" si="25"/>
        <v>224</v>
      </c>
      <c r="B225" s="12" t="s">
        <v>975</v>
      </c>
      <c r="C225" s="12" t="s">
        <v>976</v>
      </c>
      <c r="D225" s="12" t="s">
        <v>965</v>
      </c>
      <c r="E225" s="12" t="s">
        <v>1539</v>
      </c>
      <c r="F225" s="12" t="s">
        <v>1662</v>
      </c>
      <c r="G225" s="12" t="s">
        <v>1998</v>
      </c>
      <c r="H225" s="12" t="s">
        <v>1542</v>
      </c>
      <c r="I225" s="12" t="s">
        <v>1999</v>
      </c>
      <c r="J225" s="4" t="s">
        <v>55</v>
      </c>
      <c r="K225" s="4" t="s">
        <v>1498</v>
      </c>
      <c r="L225" s="14" t="s">
        <v>1518</v>
      </c>
      <c r="M225" s="4" t="s">
        <v>1500</v>
      </c>
      <c r="N225" s="14"/>
      <c r="O225" s="14"/>
      <c r="P225" s="14"/>
      <c r="Q225" s="2"/>
      <c r="R225" s="2" t="s">
        <v>1499</v>
      </c>
      <c r="S225" s="2" t="str">
        <f t="shared" si="26"/>
        <v>否</v>
      </c>
      <c r="T225" s="11" t="s">
        <v>302</v>
      </c>
      <c r="U225" s="10" t="str">
        <f t="shared" si="27"/>
        <v>SYS.RDSabnormalReplicationStatus</v>
      </c>
      <c r="V225" s="10" t="b">
        <f>ISNUMBER(MATCH(U225,#REF!,0))</f>
        <v>0</v>
      </c>
    </row>
    <row r="226" spans="1:22" ht="69" x14ac:dyDescent="0.25">
      <c r="A226" s="12">
        <f t="shared" si="25"/>
        <v>225</v>
      </c>
      <c r="B226" s="12" t="s">
        <v>975</v>
      </c>
      <c r="C226" s="12" t="s">
        <v>976</v>
      </c>
      <c r="D226" s="12" t="s">
        <v>965</v>
      </c>
      <c r="E226" s="12" t="s">
        <v>1544</v>
      </c>
      <c r="F226" s="12" t="s">
        <v>1663</v>
      </c>
      <c r="G226" s="12" t="s">
        <v>2000</v>
      </c>
      <c r="H226" s="12" t="s">
        <v>1547</v>
      </c>
      <c r="I226" s="12" t="s">
        <v>1599</v>
      </c>
      <c r="J226" s="4" t="s">
        <v>55</v>
      </c>
      <c r="K226" s="4" t="s">
        <v>1498</v>
      </c>
      <c r="L226" s="14" t="s">
        <v>1518</v>
      </c>
      <c r="M226" s="4" t="s">
        <v>1500</v>
      </c>
      <c r="N226" s="14"/>
      <c r="O226" s="14"/>
      <c r="P226" s="14"/>
      <c r="Q226" s="2"/>
      <c r="R226" s="2" t="s">
        <v>1499</v>
      </c>
      <c r="S226" s="2" t="str">
        <f t="shared" si="26"/>
        <v>否</v>
      </c>
      <c r="T226" s="11" t="s">
        <v>302</v>
      </c>
      <c r="U226" s="10" t="str">
        <f t="shared" si="27"/>
        <v>SYS.RDSreplicationStatusRecovered</v>
      </c>
      <c r="V226" s="10" t="b">
        <f>ISNUMBER(MATCH(U226,#REF!,0))</f>
        <v>0</v>
      </c>
    </row>
    <row r="227" spans="1:22" ht="92" x14ac:dyDescent="0.25">
      <c r="A227" s="12">
        <f t="shared" si="25"/>
        <v>226</v>
      </c>
      <c r="B227" s="12" t="s">
        <v>975</v>
      </c>
      <c r="C227" s="12" t="s">
        <v>976</v>
      </c>
      <c r="D227" s="12" t="s">
        <v>965</v>
      </c>
      <c r="E227" s="12" t="s">
        <v>1548</v>
      </c>
      <c r="F227" s="12" t="s">
        <v>1664</v>
      </c>
      <c r="G227" s="12" t="s">
        <v>2001</v>
      </c>
      <c r="H227" s="12" t="s">
        <v>2002</v>
      </c>
      <c r="I227" s="12" t="s">
        <v>1552</v>
      </c>
      <c r="J227" s="4" t="s">
        <v>55</v>
      </c>
      <c r="K227" s="4" t="s">
        <v>1498</v>
      </c>
      <c r="L227" s="14" t="s">
        <v>1499</v>
      </c>
      <c r="M227" s="4" t="s">
        <v>1500</v>
      </c>
      <c r="N227" s="14"/>
      <c r="O227" s="14"/>
      <c r="P227" s="14"/>
      <c r="Q227" s="2"/>
      <c r="R227" s="2" t="s">
        <v>1499</v>
      </c>
      <c r="S227" s="2" t="str">
        <f t="shared" si="26"/>
        <v/>
      </c>
      <c r="T227" s="11" t="s">
        <v>302</v>
      </c>
      <c r="U227" s="10" t="str">
        <f t="shared" si="27"/>
        <v>SYS.RDSfaultyDBInstance</v>
      </c>
      <c r="V227" s="10" t="b">
        <f>ISNUMBER(MATCH(U227,#REF!,0))</f>
        <v>0</v>
      </c>
    </row>
    <row r="228" spans="1:22" ht="103.5" x14ac:dyDescent="0.25">
      <c r="A228" s="12">
        <f t="shared" si="25"/>
        <v>227</v>
      </c>
      <c r="B228" s="12" t="s">
        <v>975</v>
      </c>
      <c r="C228" s="12" t="s">
        <v>976</v>
      </c>
      <c r="D228" s="12" t="s">
        <v>965</v>
      </c>
      <c r="E228" s="12" t="s">
        <v>1553</v>
      </c>
      <c r="F228" s="12" t="s">
        <v>1665</v>
      </c>
      <c r="G228" s="12" t="s">
        <v>2003</v>
      </c>
      <c r="H228" s="12" t="s">
        <v>1547</v>
      </c>
      <c r="I228" s="12" t="s">
        <v>1599</v>
      </c>
      <c r="J228" s="4" t="s">
        <v>55</v>
      </c>
      <c r="K228" s="4" t="s">
        <v>1498</v>
      </c>
      <c r="L228" s="14" t="s">
        <v>1518</v>
      </c>
      <c r="M228" s="4" t="s">
        <v>1500</v>
      </c>
      <c r="N228" s="14"/>
      <c r="O228" s="14"/>
      <c r="P228" s="14"/>
      <c r="Q228" s="2"/>
      <c r="R228" s="2" t="s">
        <v>1499</v>
      </c>
      <c r="S228" s="2" t="str">
        <f t="shared" si="26"/>
        <v>否</v>
      </c>
      <c r="T228" s="11" t="s">
        <v>302</v>
      </c>
      <c r="U228" s="10" t="str">
        <f t="shared" si="27"/>
        <v>SYS.RDSDBInstanceRecovered</v>
      </c>
      <c r="V228" s="10" t="b">
        <f>ISNUMBER(MATCH(U228,#REF!,0))</f>
        <v>0</v>
      </c>
    </row>
    <row r="229" spans="1:22" ht="69" x14ac:dyDescent="0.25">
      <c r="A229" s="12">
        <f t="shared" si="25"/>
        <v>228</v>
      </c>
      <c r="B229" s="12" t="s">
        <v>975</v>
      </c>
      <c r="C229" s="12" t="s">
        <v>976</v>
      </c>
      <c r="D229" s="12" t="s">
        <v>965</v>
      </c>
      <c r="E229" s="12" t="s">
        <v>1561</v>
      </c>
      <c r="F229" s="12" t="s">
        <v>1672</v>
      </c>
      <c r="G229" s="12" t="s">
        <v>2004</v>
      </c>
      <c r="H229" s="12" t="s">
        <v>571</v>
      </c>
      <c r="I229" s="12" t="s">
        <v>571</v>
      </c>
      <c r="J229" s="4" t="s">
        <v>55</v>
      </c>
      <c r="K229" s="4" t="s">
        <v>1498</v>
      </c>
      <c r="L229" s="14" t="s">
        <v>1499</v>
      </c>
      <c r="M229" s="4" t="s">
        <v>1500</v>
      </c>
      <c r="N229" s="14"/>
      <c r="O229" s="14"/>
      <c r="P229" s="14"/>
      <c r="Q229" s="2"/>
      <c r="R229" s="2" t="s">
        <v>1499</v>
      </c>
      <c r="S229" s="2" t="str">
        <f t="shared" si="26"/>
        <v/>
      </c>
      <c r="T229" s="11" t="s">
        <v>302</v>
      </c>
      <c r="U229" s="10" t="str">
        <f t="shared" si="27"/>
        <v>SYS.RDSPrimaryStandbySwitched</v>
      </c>
      <c r="V229" s="10" t="b">
        <f>ISNUMBER(MATCH(U229,#REF!,0))</f>
        <v>0</v>
      </c>
    </row>
    <row r="230" spans="1:22" ht="138" x14ac:dyDescent="0.25">
      <c r="A230" s="12">
        <f t="shared" si="25"/>
        <v>229</v>
      </c>
      <c r="B230" s="12" t="s">
        <v>975</v>
      </c>
      <c r="C230" s="12" t="s">
        <v>976</v>
      </c>
      <c r="D230" s="12" t="s">
        <v>965</v>
      </c>
      <c r="E230" s="12" t="s">
        <v>1666</v>
      </c>
      <c r="F230" s="12" t="s">
        <v>1667</v>
      </c>
      <c r="G230" s="12" t="s">
        <v>2005</v>
      </c>
      <c r="H230" s="12" t="s">
        <v>2006</v>
      </c>
      <c r="I230" s="12" t="s">
        <v>2007</v>
      </c>
      <c r="J230" s="4" t="s">
        <v>55</v>
      </c>
      <c r="K230" s="4" t="s">
        <v>1498</v>
      </c>
      <c r="L230" s="14" t="s">
        <v>1499</v>
      </c>
      <c r="M230" s="4" t="s">
        <v>1500</v>
      </c>
      <c r="N230" s="14"/>
      <c r="O230" s="14"/>
      <c r="P230" s="14"/>
      <c r="Q230" s="2"/>
      <c r="R230" s="2" t="s">
        <v>1499</v>
      </c>
      <c r="S230" s="2" t="str">
        <f t="shared" si="26"/>
        <v/>
      </c>
      <c r="T230" s="11" t="s">
        <v>302</v>
      </c>
      <c r="U230" s="10" t="str">
        <f t="shared" si="27"/>
        <v>SYS.RDSDatabaseProcessRestarted</v>
      </c>
      <c r="V230" s="10" t="b">
        <f>ISNUMBER(MATCH(U230,#REF!,0))</f>
        <v>0</v>
      </c>
    </row>
    <row r="231" spans="1:22" ht="69" x14ac:dyDescent="0.25">
      <c r="A231" s="12">
        <f t="shared" si="25"/>
        <v>230</v>
      </c>
      <c r="B231" s="12" t="s">
        <v>975</v>
      </c>
      <c r="C231" s="12" t="s">
        <v>976</v>
      </c>
      <c r="D231" s="12" t="s">
        <v>965</v>
      </c>
      <c r="E231" s="12" t="s">
        <v>1668</v>
      </c>
      <c r="F231" s="12" t="s">
        <v>1669</v>
      </c>
      <c r="G231" s="12" t="s">
        <v>2008</v>
      </c>
      <c r="H231" s="12" t="s">
        <v>2009</v>
      </c>
      <c r="I231" s="12" t="s">
        <v>2010</v>
      </c>
      <c r="J231" s="4" t="s">
        <v>55</v>
      </c>
      <c r="K231" s="4" t="s">
        <v>1498</v>
      </c>
      <c r="L231" s="14" t="s">
        <v>1499</v>
      </c>
      <c r="M231" s="4" t="s">
        <v>1500</v>
      </c>
      <c r="N231" s="14"/>
      <c r="O231" s="14"/>
      <c r="P231" s="14"/>
      <c r="Q231" s="2"/>
      <c r="R231" s="2" t="s">
        <v>1499</v>
      </c>
      <c r="S231" s="2" t="str">
        <f t="shared" si="26"/>
        <v/>
      </c>
      <c r="T231" s="11" t="s">
        <v>152</v>
      </c>
      <c r="U231" s="10" t="str">
        <f t="shared" si="27"/>
        <v>SYS.RDSinstanceDiskFull</v>
      </c>
      <c r="V231" s="10" t="b">
        <f>ISNUMBER(MATCH(U231,#REF!,0))</f>
        <v>0</v>
      </c>
    </row>
    <row r="232" spans="1:22" ht="34.5" x14ac:dyDescent="0.25">
      <c r="A232" s="12">
        <f t="shared" si="25"/>
        <v>231</v>
      </c>
      <c r="B232" s="12" t="s">
        <v>975</v>
      </c>
      <c r="C232" s="12" t="s">
        <v>976</v>
      </c>
      <c r="D232" s="12" t="s">
        <v>965</v>
      </c>
      <c r="E232" s="12" t="s">
        <v>1670</v>
      </c>
      <c r="F232" s="12" t="s">
        <v>1671</v>
      </c>
      <c r="G232" s="12" t="s">
        <v>2011</v>
      </c>
      <c r="H232" s="12" t="s">
        <v>1547</v>
      </c>
      <c r="I232" s="12" t="s">
        <v>2012</v>
      </c>
      <c r="J232" s="4" t="s">
        <v>55</v>
      </c>
      <c r="K232" s="4" t="s">
        <v>1498</v>
      </c>
      <c r="L232" s="14" t="s">
        <v>1518</v>
      </c>
      <c r="M232" s="4" t="s">
        <v>1500</v>
      </c>
      <c r="N232" s="14"/>
      <c r="O232" s="14"/>
      <c r="P232" s="14"/>
      <c r="Q232" s="2"/>
      <c r="R232" s="2" t="s">
        <v>1499</v>
      </c>
      <c r="S232" s="2" t="str">
        <f t="shared" si="26"/>
        <v>否</v>
      </c>
      <c r="T232" s="11" t="s">
        <v>152</v>
      </c>
      <c r="U232" s="10" t="str">
        <f t="shared" si="27"/>
        <v>SYS.RDSinstanceDiskFullRecovered</v>
      </c>
      <c r="V232" s="10" t="b">
        <f>ISNUMBER(MATCH(U232,#REF!,0))</f>
        <v>0</v>
      </c>
    </row>
    <row r="233" spans="1:22" ht="34.5" x14ac:dyDescent="0.25">
      <c r="A233" s="12">
        <f t="shared" si="25"/>
        <v>232</v>
      </c>
      <c r="B233" s="12" t="s">
        <v>1103</v>
      </c>
      <c r="C233" s="12" t="s">
        <v>1104</v>
      </c>
      <c r="D233" s="13" t="s">
        <v>2019</v>
      </c>
      <c r="E233" s="12" t="s">
        <v>1574</v>
      </c>
      <c r="F233" s="12" t="s">
        <v>1575</v>
      </c>
      <c r="G233" s="12" t="s">
        <v>1768</v>
      </c>
      <c r="H233" s="12" t="s">
        <v>1769</v>
      </c>
      <c r="I233" s="12" t="s">
        <v>1770</v>
      </c>
      <c r="J233" s="4" t="s">
        <v>55</v>
      </c>
      <c r="K233" s="4" t="s">
        <v>1498</v>
      </c>
      <c r="L233" s="4" t="s">
        <v>1499</v>
      </c>
      <c r="M233" s="4" t="s">
        <v>1500</v>
      </c>
      <c r="N233" s="15"/>
      <c r="O233" s="15"/>
      <c r="P233" s="15"/>
      <c r="Q233" s="11"/>
      <c r="R233" s="11"/>
      <c r="S233" s="11"/>
      <c r="T233" s="11"/>
      <c r="U233" s="10" t="str">
        <f t="shared" si="27"/>
        <v>SYS.BMSReadOnlyFileSystem</v>
      </c>
      <c r="V233" s="10" t="b">
        <f>ISNUMBER(MATCH(U233,#REF!,0))</f>
        <v>0</v>
      </c>
    </row>
    <row r="234" spans="1:22" ht="46" x14ac:dyDescent="0.25">
      <c r="A234" s="12">
        <f t="shared" si="25"/>
        <v>233</v>
      </c>
      <c r="B234" s="12" t="s">
        <v>1103</v>
      </c>
      <c r="C234" s="12" t="s">
        <v>1104</v>
      </c>
      <c r="D234" s="13" t="s">
        <v>2019</v>
      </c>
      <c r="E234" s="12" t="s">
        <v>1576</v>
      </c>
      <c r="F234" s="12" t="s">
        <v>1577</v>
      </c>
      <c r="G234" s="12" t="s">
        <v>1771</v>
      </c>
      <c r="H234" s="12" t="s">
        <v>1772</v>
      </c>
      <c r="I234" s="12" t="s">
        <v>1773</v>
      </c>
      <c r="J234" s="4" t="s">
        <v>55</v>
      </c>
      <c r="K234" s="4" t="s">
        <v>1498</v>
      </c>
      <c r="L234" s="4" t="s">
        <v>1518</v>
      </c>
      <c r="M234" s="4" t="s">
        <v>1500</v>
      </c>
      <c r="N234" s="15"/>
      <c r="O234" s="15"/>
      <c r="P234" s="15"/>
      <c r="Q234" s="11"/>
      <c r="R234" s="11"/>
      <c r="S234" s="11"/>
      <c r="T234" s="11"/>
      <c r="U234" s="10" t="str">
        <f t="shared" si="27"/>
        <v>SYS.BMSNpuDriverFirmwareMismatch</v>
      </c>
      <c r="V234" s="10" t="b">
        <f>ISNUMBER(MATCH(U234,#REF!,0))</f>
        <v>0</v>
      </c>
    </row>
    <row r="235" spans="1:22" ht="34.5" x14ac:dyDescent="0.25">
      <c r="A235" s="12">
        <f t="shared" si="25"/>
        <v>234</v>
      </c>
      <c r="B235" s="12" t="s">
        <v>1103</v>
      </c>
      <c r="C235" s="12" t="s">
        <v>1104</v>
      </c>
      <c r="D235" s="13" t="s">
        <v>2019</v>
      </c>
      <c r="E235" s="12" t="s">
        <v>1578</v>
      </c>
      <c r="F235" s="12" t="s">
        <v>1579</v>
      </c>
      <c r="G235" s="12" t="s">
        <v>1774</v>
      </c>
      <c r="H235" s="12" t="s">
        <v>1775</v>
      </c>
      <c r="I235" s="12" t="s">
        <v>1776</v>
      </c>
      <c r="J235" s="4" t="s">
        <v>55</v>
      </c>
      <c r="K235" s="4" t="s">
        <v>1498</v>
      </c>
      <c r="L235" s="4" t="s">
        <v>1499</v>
      </c>
      <c r="M235" s="4" t="s">
        <v>1500</v>
      </c>
      <c r="N235" s="15"/>
      <c r="O235" s="15"/>
      <c r="P235" s="15"/>
      <c r="Q235" s="11"/>
      <c r="R235" s="11"/>
      <c r="S235" s="11"/>
      <c r="T235" s="11"/>
      <c r="U235" s="10" t="str">
        <f t="shared" si="27"/>
        <v>SYS.BMSRoCELinkStatusDown</v>
      </c>
      <c r="V235" s="10" t="b">
        <f>ISNUMBER(MATCH(U235,#REF!,0))</f>
        <v>0</v>
      </c>
    </row>
    <row r="236" spans="1:22" ht="46" x14ac:dyDescent="0.25">
      <c r="A236" s="12">
        <f t="shared" si="25"/>
        <v>235</v>
      </c>
      <c r="B236" s="12" t="s">
        <v>1103</v>
      </c>
      <c r="C236" s="12" t="s">
        <v>1104</v>
      </c>
      <c r="D236" s="13" t="s">
        <v>2019</v>
      </c>
      <c r="E236" s="12" t="s">
        <v>1580</v>
      </c>
      <c r="F236" s="12" t="s">
        <v>1581</v>
      </c>
      <c r="G236" s="12" t="s">
        <v>1777</v>
      </c>
      <c r="H236" s="12" t="s">
        <v>1778</v>
      </c>
      <c r="I236" s="12" t="s">
        <v>1776</v>
      </c>
      <c r="J236" s="4" t="s">
        <v>55</v>
      </c>
      <c r="K236" s="4" t="s">
        <v>1498</v>
      </c>
      <c r="L236" s="4" t="s">
        <v>1499</v>
      </c>
      <c r="M236" s="4" t="s">
        <v>1500</v>
      </c>
      <c r="N236" s="15"/>
      <c r="O236" s="15"/>
      <c r="P236" s="15"/>
      <c r="Q236" s="11"/>
      <c r="R236" s="11"/>
      <c r="S236" s="11"/>
      <c r="T236" s="11"/>
      <c r="U236" s="10" t="str">
        <f t="shared" si="27"/>
        <v>SYS.BMSRoCEHealthStatusError</v>
      </c>
      <c r="V236" s="10" t="b">
        <f>ISNUMBER(MATCH(U236,#REF!,0))</f>
        <v>0</v>
      </c>
    </row>
    <row r="237" spans="1:22" ht="57.5" x14ac:dyDescent="0.25">
      <c r="A237" s="12">
        <f t="shared" si="25"/>
        <v>236</v>
      </c>
      <c r="B237" s="12" t="s">
        <v>1103</v>
      </c>
      <c r="C237" s="12" t="s">
        <v>1104</v>
      </c>
      <c r="D237" s="13" t="s">
        <v>2019</v>
      </c>
      <c r="E237" s="12" t="s">
        <v>1582</v>
      </c>
      <c r="F237" s="12" t="s">
        <v>1583</v>
      </c>
      <c r="G237" s="12" t="s">
        <v>1779</v>
      </c>
      <c r="H237" s="12" t="s">
        <v>1780</v>
      </c>
      <c r="I237" s="12" t="s">
        <v>1781</v>
      </c>
      <c r="J237" s="4" t="s">
        <v>55</v>
      </c>
      <c r="K237" s="4" t="s">
        <v>1498</v>
      </c>
      <c r="L237" s="4" t="s">
        <v>1518</v>
      </c>
      <c r="M237" s="4" t="s">
        <v>1500</v>
      </c>
      <c r="N237" s="15"/>
      <c r="O237" s="15"/>
      <c r="P237" s="15"/>
      <c r="Q237" s="11"/>
      <c r="R237" s="11"/>
      <c r="S237" s="11"/>
      <c r="T237" s="11"/>
      <c r="U237" s="10" t="str">
        <f t="shared" si="27"/>
        <v>SYS.BMSHccnConfNotExisted</v>
      </c>
      <c r="V237" s="10" t="b">
        <f>ISNUMBER(MATCH(U237,#REF!,0))</f>
        <v>0</v>
      </c>
    </row>
    <row r="238" spans="1:22" ht="80.5" x14ac:dyDescent="0.25">
      <c r="A238" s="12">
        <f t="shared" si="25"/>
        <v>237</v>
      </c>
      <c r="B238" s="12" t="s">
        <v>1103</v>
      </c>
      <c r="C238" s="12" t="s">
        <v>1104</v>
      </c>
      <c r="D238" s="13" t="s">
        <v>2019</v>
      </c>
      <c r="E238" s="12" t="s">
        <v>1584</v>
      </c>
      <c r="F238" s="12" t="s">
        <v>1585</v>
      </c>
      <c r="G238" s="12" t="s">
        <v>1782</v>
      </c>
      <c r="H238" s="12" t="s">
        <v>1783</v>
      </c>
      <c r="I238" s="12" t="s">
        <v>1784</v>
      </c>
      <c r="J238" s="4" t="s">
        <v>55</v>
      </c>
      <c r="K238" s="4" t="s">
        <v>1498</v>
      </c>
      <c r="L238" s="4" t="s">
        <v>1518</v>
      </c>
      <c r="M238" s="4" t="s">
        <v>1500</v>
      </c>
      <c r="N238" s="15"/>
      <c r="O238" s="15"/>
      <c r="P238" s="15"/>
      <c r="Q238" s="11"/>
      <c r="R238" s="11"/>
      <c r="S238" s="11"/>
      <c r="T238" s="11"/>
      <c r="U238" s="10" t="str">
        <f t="shared" si="27"/>
        <v>SYS.BMSMountDiskSystem</v>
      </c>
      <c r="V238" s="10" t="b">
        <f>ISNUMBER(MATCH(U238,#REF!,0))</f>
        <v>0</v>
      </c>
    </row>
    <row r="239" spans="1:22" ht="46" x14ac:dyDescent="0.25">
      <c r="A239" s="12">
        <f t="shared" si="25"/>
        <v>238</v>
      </c>
      <c r="B239" s="12" t="s">
        <v>1103</v>
      </c>
      <c r="C239" s="12" t="s">
        <v>1104</v>
      </c>
      <c r="D239" s="13" t="s">
        <v>2019</v>
      </c>
      <c r="E239" s="12" t="s">
        <v>1586</v>
      </c>
      <c r="F239" s="12" t="s">
        <v>1587</v>
      </c>
      <c r="G239" s="12" t="s">
        <v>1785</v>
      </c>
      <c r="H239" s="12" t="s">
        <v>1786</v>
      </c>
      <c r="I239" s="12" t="s">
        <v>1787</v>
      </c>
      <c r="J239" s="4" t="s">
        <v>55</v>
      </c>
      <c r="K239" s="4" t="s">
        <v>1498</v>
      </c>
      <c r="L239" s="4" t="s">
        <v>1518</v>
      </c>
      <c r="M239" s="4" t="s">
        <v>1500</v>
      </c>
      <c r="N239" s="15"/>
      <c r="O239" s="15"/>
      <c r="P239" s="15"/>
      <c r="Q239" s="11"/>
      <c r="R239" s="11"/>
      <c r="S239" s="11"/>
      <c r="T239" s="11"/>
      <c r="U239" s="10" t="str">
        <f t="shared" si="27"/>
        <v>SYS.BMSRoCEUdpConfigError</v>
      </c>
      <c r="V239" s="10" t="b">
        <f>ISNUMBER(MATCH(U239,#REF!,0))</f>
        <v>0</v>
      </c>
    </row>
    <row r="240" spans="1:22" ht="103.5" x14ac:dyDescent="0.25">
      <c r="A240" s="12">
        <f t="shared" ref="A240:A247" si="28">ROW()-1</f>
        <v>239</v>
      </c>
      <c r="B240" s="12" t="s">
        <v>1103</v>
      </c>
      <c r="C240" s="12" t="s">
        <v>1104</v>
      </c>
      <c r="D240" s="13" t="s">
        <v>2019</v>
      </c>
      <c r="E240" s="12" t="s">
        <v>1588</v>
      </c>
      <c r="F240" s="12" t="s">
        <v>1589</v>
      </c>
      <c r="G240" s="12" t="s">
        <v>1788</v>
      </c>
      <c r="H240" s="12" t="s">
        <v>1789</v>
      </c>
      <c r="I240" s="12" t="s">
        <v>1790</v>
      </c>
      <c r="J240" s="4" t="s">
        <v>55</v>
      </c>
      <c r="K240" s="4" t="s">
        <v>1498</v>
      </c>
      <c r="L240" s="4" t="s">
        <v>1518</v>
      </c>
      <c r="M240" s="4" t="s">
        <v>1500</v>
      </c>
      <c r="N240" s="15"/>
      <c r="O240" s="15"/>
      <c r="P240" s="15"/>
      <c r="Q240" s="11"/>
      <c r="R240" s="11"/>
      <c r="S240" s="11"/>
      <c r="T240" s="11"/>
      <c r="U240" s="10" t="str">
        <f t="shared" ref="U240:U247" si="29">C240&amp;F240</f>
        <v>SYS.BMSNpuToolsWarning</v>
      </c>
      <c r="V240" s="10" t="b">
        <f>ISNUMBER(MATCH(U240,#REF!,0))</f>
        <v>0</v>
      </c>
    </row>
    <row r="241" spans="1:22" ht="46" x14ac:dyDescent="0.25">
      <c r="A241" s="12">
        <f t="shared" si="28"/>
        <v>240</v>
      </c>
      <c r="B241" s="12" t="s">
        <v>1103</v>
      </c>
      <c r="C241" s="12" t="s">
        <v>1104</v>
      </c>
      <c r="D241" s="13" t="s">
        <v>2019</v>
      </c>
      <c r="E241" s="12" t="s">
        <v>1564</v>
      </c>
      <c r="F241" s="12" t="s">
        <v>1565</v>
      </c>
      <c r="G241" s="12" t="s">
        <v>1810</v>
      </c>
      <c r="H241" s="12" t="s">
        <v>1811</v>
      </c>
      <c r="I241" s="12" t="s">
        <v>1812</v>
      </c>
      <c r="J241" s="4" t="s">
        <v>55</v>
      </c>
      <c r="K241" s="4" t="s">
        <v>1498</v>
      </c>
      <c r="L241" s="4" t="s">
        <v>1499</v>
      </c>
      <c r="M241" s="4" t="s">
        <v>1500</v>
      </c>
      <c r="N241" s="15"/>
      <c r="O241" s="15"/>
      <c r="P241" s="15"/>
      <c r="Q241" s="11"/>
      <c r="R241" s="11"/>
      <c r="S241" s="11"/>
      <c r="T241" s="11"/>
      <c r="U241" s="10" t="str">
        <f t="shared" si="29"/>
        <v>SYS.BMSNPUSMICardNotFound</v>
      </c>
      <c r="V241" s="10" t="b">
        <f>ISNUMBER(MATCH(U241,#REF!,0))</f>
        <v>0</v>
      </c>
    </row>
    <row r="242" spans="1:22" ht="23" x14ac:dyDescent="0.25">
      <c r="A242" s="12">
        <f t="shared" si="28"/>
        <v>241</v>
      </c>
      <c r="B242" s="12" t="s">
        <v>1103</v>
      </c>
      <c r="C242" s="12" t="s">
        <v>1104</v>
      </c>
      <c r="D242" s="13" t="s">
        <v>2019</v>
      </c>
      <c r="E242" s="12" t="s">
        <v>1567</v>
      </c>
      <c r="F242" s="12" t="s">
        <v>1568</v>
      </c>
      <c r="G242" s="12" t="s">
        <v>1813</v>
      </c>
      <c r="H242" s="12" t="s">
        <v>1814</v>
      </c>
      <c r="I242" s="12" t="s">
        <v>1812</v>
      </c>
      <c r="J242" s="4" t="s">
        <v>55</v>
      </c>
      <c r="K242" s="4" t="s">
        <v>1498</v>
      </c>
      <c r="L242" s="4" t="s">
        <v>1499</v>
      </c>
      <c r="M242" s="4" t="s">
        <v>1500</v>
      </c>
      <c r="N242" s="15"/>
      <c r="O242" s="15"/>
      <c r="P242" s="15"/>
      <c r="Q242" s="11"/>
      <c r="R242" s="11"/>
      <c r="S242" s="11"/>
      <c r="T242" s="11"/>
      <c r="U242" s="10" t="str">
        <f t="shared" si="29"/>
        <v>SYS.BMSPCIeErrorFound</v>
      </c>
      <c r="V242" s="10" t="b">
        <f>ISNUMBER(MATCH(U242,#REF!,0))</f>
        <v>0</v>
      </c>
    </row>
    <row r="243" spans="1:22" ht="34.5" x14ac:dyDescent="0.25">
      <c r="A243" s="12">
        <f t="shared" si="28"/>
        <v>242</v>
      </c>
      <c r="B243" s="12" t="s">
        <v>1103</v>
      </c>
      <c r="C243" s="12" t="s">
        <v>1104</v>
      </c>
      <c r="D243" s="13" t="s">
        <v>2019</v>
      </c>
      <c r="E243" s="12" t="s">
        <v>1569</v>
      </c>
      <c r="F243" s="12" t="s">
        <v>1570</v>
      </c>
      <c r="G243" s="12" t="s">
        <v>1815</v>
      </c>
      <c r="H243" s="12" t="s">
        <v>1806</v>
      </c>
      <c r="I243" s="12" t="s">
        <v>1812</v>
      </c>
      <c r="J243" s="4" t="s">
        <v>55</v>
      </c>
      <c r="K243" s="4" t="s">
        <v>1498</v>
      </c>
      <c r="L243" s="4" t="s">
        <v>1499</v>
      </c>
      <c r="M243" s="4" t="s">
        <v>1500</v>
      </c>
      <c r="N243" s="15"/>
      <c r="O243" s="15"/>
      <c r="P243" s="15"/>
      <c r="Q243" s="11"/>
      <c r="R243" s="11"/>
      <c r="S243" s="11"/>
      <c r="T243" s="11"/>
      <c r="U243" s="10" t="str">
        <f t="shared" si="29"/>
        <v>SYS.BMSLspciCardNotFound</v>
      </c>
      <c r="V243" s="10" t="b">
        <f>ISNUMBER(MATCH(U243,#REF!,0))</f>
        <v>0</v>
      </c>
    </row>
    <row r="244" spans="1:22" ht="92" x14ac:dyDescent="0.25">
      <c r="A244" s="12">
        <f t="shared" si="28"/>
        <v>243</v>
      </c>
      <c r="B244" s="12" t="s">
        <v>1103</v>
      </c>
      <c r="C244" s="12" t="s">
        <v>1104</v>
      </c>
      <c r="D244" s="13" t="s">
        <v>2019</v>
      </c>
      <c r="E244" s="12" t="s">
        <v>1572</v>
      </c>
      <c r="F244" s="12" t="s">
        <v>1573</v>
      </c>
      <c r="G244" s="12" t="s">
        <v>1820</v>
      </c>
      <c r="H244" s="12" t="s">
        <v>1821</v>
      </c>
      <c r="I244" s="12" t="s">
        <v>1822</v>
      </c>
      <c r="J244" s="4" t="s">
        <v>55</v>
      </c>
      <c r="K244" s="4" t="s">
        <v>1498</v>
      </c>
      <c r="L244" s="4" t="s">
        <v>1518</v>
      </c>
      <c r="M244" s="4" t="s">
        <v>1500</v>
      </c>
      <c r="N244" s="15"/>
      <c r="O244" s="15"/>
      <c r="P244" s="15"/>
      <c r="Q244" s="11"/>
      <c r="R244" s="11"/>
      <c r="S244" s="11"/>
      <c r="T244" s="11"/>
      <c r="U244" s="10" t="str">
        <f t="shared" si="29"/>
        <v>SYS.BMSNPUErrorCodeWarning</v>
      </c>
      <c r="V244" s="10" t="b">
        <f>ISNUMBER(MATCH(U244,#REF!,0))</f>
        <v>0</v>
      </c>
    </row>
    <row r="245" spans="1:22" ht="46" x14ac:dyDescent="0.25">
      <c r="A245" s="12">
        <f t="shared" si="28"/>
        <v>244</v>
      </c>
      <c r="B245" s="12" t="s">
        <v>1103</v>
      </c>
      <c r="C245" s="12" t="s">
        <v>1104</v>
      </c>
      <c r="D245" s="13" t="s">
        <v>2019</v>
      </c>
      <c r="E245" s="12" t="s">
        <v>2013</v>
      </c>
      <c r="F245" s="12" t="s">
        <v>2014</v>
      </c>
      <c r="G245" s="13" t="s">
        <v>2020</v>
      </c>
      <c r="H245" s="13" t="s">
        <v>2021</v>
      </c>
      <c r="I245" s="13" t="s">
        <v>1819</v>
      </c>
      <c r="J245" s="4" t="s">
        <v>55</v>
      </c>
      <c r="K245" s="4" t="s">
        <v>1498</v>
      </c>
      <c r="L245" s="4" t="s">
        <v>1499</v>
      </c>
      <c r="M245" s="4" t="s">
        <v>1500</v>
      </c>
      <c r="N245" s="15"/>
      <c r="O245" s="15"/>
      <c r="P245" s="15"/>
      <c r="Q245" s="11"/>
      <c r="R245" s="11"/>
      <c r="S245" s="11"/>
      <c r="T245" s="11"/>
      <c r="U245" s="10" t="str">
        <f t="shared" si="29"/>
        <v>SYS.BMSNpuL1SwitchPortPartialFunctionFailure</v>
      </c>
      <c r="V245" s="10" t="b">
        <f>ISNUMBER(MATCH(U245,#REF!,0))</f>
        <v>0</v>
      </c>
    </row>
    <row r="246" spans="1:22" ht="69" x14ac:dyDescent="0.25">
      <c r="A246" s="12">
        <f t="shared" si="28"/>
        <v>245</v>
      </c>
      <c r="B246" s="12" t="s">
        <v>1103</v>
      </c>
      <c r="C246" s="12" t="s">
        <v>1104</v>
      </c>
      <c r="D246" s="13" t="s">
        <v>2019</v>
      </c>
      <c r="E246" s="12" t="s">
        <v>2015</v>
      </c>
      <c r="F246" s="12" t="s">
        <v>2016</v>
      </c>
      <c r="G246" s="13" t="s">
        <v>2022</v>
      </c>
      <c r="H246" s="13" t="s">
        <v>2021</v>
      </c>
      <c r="I246" s="13" t="s">
        <v>1767</v>
      </c>
      <c r="J246" s="4" t="s">
        <v>55</v>
      </c>
      <c r="K246" s="4" t="s">
        <v>1498</v>
      </c>
      <c r="L246" s="4" t="s">
        <v>1499</v>
      </c>
      <c r="M246" s="4" t="s">
        <v>1500</v>
      </c>
      <c r="N246" s="15"/>
      <c r="O246" s="15"/>
      <c r="P246" s="15"/>
      <c r="Q246" s="11"/>
      <c r="R246" s="11"/>
      <c r="S246" s="11"/>
      <c r="T246" s="11"/>
      <c r="U246" s="10" t="str">
        <f t="shared" si="29"/>
        <v>SYS.BMSNpuRoceIPAddressMismatch</v>
      </c>
      <c r="V246" s="10" t="b">
        <f>ISNUMBER(MATCH(U246,#REF!,0))</f>
        <v>0</v>
      </c>
    </row>
    <row r="247" spans="1:22" ht="46" x14ac:dyDescent="0.25">
      <c r="A247" s="12">
        <f t="shared" si="28"/>
        <v>246</v>
      </c>
      <c r="B247" s="12" t="s">
        <v>1103</v>
      </c>
      <c r="C247" s="12" t="s">
        <v>1104</v>
      </c>
      <c r="D247" s="13" t="s">
        <v>2019</v>
      </c>
      <c r="E247" s="12" t="s">
        <v>2017</v>
      </c>
      <c r="F247" s="12" t="s">
        <v>2018</v>
      </c>
      <c r="G247" s="13" t="s">
        <v>2023</v>
      </c>
      <c r="H247" s="13" t="s">
        <v>2021</v>
      </c>
      <c r="I247" s="13" t="s">
        <v>1819</v>
      </c>
      <c r="J247" s="4" t="s">
        <v>55</v>
      </c>
      <c r="K247" s="4" t="s">
        <v>1498</v>
      </c>
      <c r="L247" s="4" t="s">
        <v>1499</v>
      </c>
      <c r="M247" s="4" t="s">
        <v>1500</v>
      </c>
      <c r="N247" s="15"/>
      <c r="O247" s="15"/>
      <c r="P247" s="15"/>
      <c r="Q247" s="11"/>
      <c r="R247" s="11"/>
      <c r="S247" s="11"/>
      <c r="T247" s="11"/>
      <c r="U247" s="10" t="str">
        <f t="shared" si="29"/>
        <v>SYS.BMSNpuL1SwitchFault</v>
      </c>
      <c r="V247" s="10" t="b">
        <f>ISNUMBER(MATCH(U247,#REF!,0))</f>
        <v>0</v>
      </c>
    </row>
    <row r="248" spans="1:22" ht="34.5" x14ac:dyDescent="0.25">
      <c r="A248" s="12">
        <f t="shared" ref="A248:A256" si="30">ROW()-1</f>
        <v>247</v>
      </c>
      <c r="B248" s="12" t="s">
        <v>1038</v>
      </c>
      <c r="C248" s="12" t="s">
        <v>1194</v>
      </c>
      <c r="D248" s="13" t="s">
        <v>2019</v>
      </c>
      <c r="E248" s="12" t="s">
        <v>1574</v>
      </c>
      <c r="F248" s="12" t="s">
        <v>1575</v>
      </c>
      <c r="G248" s="12" t="s">
        <v>1768</v>
      </c>
      <c r="H248" s="12" t="s">
        <v>1769</v>
      </c>
      <c r="I248" s="12" t="s">
        <v>1770</v>
      </c>
      <c r="J248" s="4" t="s">
        <v>55</v>
      </c>
      <c r="K248" s="4" t="s">
        <v>1498</v>
      </c>
      <c r="L248" s="4" t="s">
        <v>1499</v>
      </c>
      <c r="M248" s="4" t="s">
        <v>1500</v>
      </c>
      <c r="N248" s="4"/>
      <c r="O248" s="4"/>
      <c r="P248" s="4"/>
      <c r="Q248" s="2"/>
      <c r="R248" s="2"/>
      <c r="S248" s="2"/>
      <c r="T248" s="11"/>
      <c r="U248" s="10" t="str">
        <f t="shared" ref="U248:U256" si="31">C248&amp;F248</f>
        <v>SYS.ECSReadOnlyFileSystem</v>
      </c>
      <c r="V248" s="10" t="b">
        <f>ISNUMBER(MATCH(U248,#REF!,0))</f>
        <v>0</v>
      </c>
    </row>
    <row r="249" spans="1:22" ht="46" x14ac:dyDescent="0.25">
      <c r="A249" s="12">
        <f t="shared" si="30"/>
        <v>248</v>
      </c>
      <c r="B249" s="12" t="s">
        <v>1038</v>
      </c>
      <c r="C249" s="12" t="s">
        <v>1194</v>
      </c>
      <c r="D249" s="13" t="s">
        <v>2019</v>
      </c>
      <c r="E249" s="12" t="s">
        <v>1576</v>
      </c>
      <c r="F249" s="12" t="s">
        <v>1577</v>
      </c>
      <c r="G249" s="12" t="s">
        <v>1771</v>
      </c>
      <c r="H249" s="12" t="s">
        <v>1772</v>
      </c>
      <c r="I249" s="12" t="s">
        <v>1773</v>
      </c>
      <c r="J249" s="4" t="s">
        <v>55</v>
      </c>
      <c r="K249" s="4" t="s">
        <v>1498</v>
      </c>
      <c r="L249" s="4" t="s">
        <v>1518</v>
      </c>
      <c r="M249" s="4" t="s">
        <v>1500</v>
      </c>
      <c r="N249" s="4"/>
      <c r="O249" s="4"/>
      <c r="P249" s="4"/>
      <c r="Q249" s="2"/>
      <c r="R249" s="2"/>
      <c r="S249" s="2"/>
      <c r="T249" s="11"/>
      <c r="U249" s="10" t="str">
        <f t="shared" si="31"/>
        <v>SYS.ECSNpuDriverFirmwareMismatch</v>
      </c>
      <c r="V249" s="10" t="b">
        <f>ISNUMBER(MATCH(U249,#REF!,0))</f>
        <v>0</v>
      </c>
    </row>
    <row r="250" spans="1:22" ht="34.5" x14ac:dyDescent="0.25">
      <c r="A250" s="12">
        <f t="shared" si="30"/>
        <v>249</v>
      </c>
      <c r="B250" s="12" t="s">
        <v>1038</v>
      </c>
      <c r="C250" s="12" t="s">
        <v>1194</v>
      </c>
      <c r="D250" s="13" t="s">
        <v>2019</v>
      </c>
      <c r="E250" s="12" t="s">
        <v>1578</v>
      </c>
      <c r="F250" s="12" t="s">
        <v>1579</v>
      </c>
      <c r="G250" s="12" t="s">
        <v>1774</v>
      </c>
      <c r="H250" s="12" t="s">
        <v>1775</v>
      </c>
      <c r="I250" s="12" t="s">
        <v>1776</v>
      </c>
      <c r="J250" s="4" t="s">
        <v>55</v>
      </c>
      <c r="K250" s="4" t="s">
        <v>1498</v>
      </c>
      <c r="L250" s="4" t="s">
        <v>1499</v>
      </c>
      <c r="M250" s="4" t="s">
        <v>1500</v>
      </c>
      <c r="N250" s="4"/>
      <c r="O250" s="4"/>
      <c r="P250" s="4"/>
      <c r="Q250" s="2"/>
      <c r="R250" s="2"/>
      <c r="S250" s="2"/>
      <c r="T250" s="11"/>
      <c r="U250" s="10" t="str">
        <f t="shared" si="31"/>
        <v>SYS.ECSRoCELinkStatusDown</v>
      </c>
      <c r="V250" s="10" t="b">
        <f>ISNUMBER(MATCH(U250,#REF!,0))</f>
        <v>0</v>
      </c>
    </row>
    <row r="251" spans="1:22" ht="46" x14ac:dyDescent="0.25">
      <c r="A251" s="12">
        <f t="shared" si="30"/>
        <v>250</v>
      </c>
      <c r="B251" s="12" t="s">
        <v>1038</v>
      </c>
      <c r="C251" s="12" t="s">
        <v>1194</v>
      </c>
      <c r="D251" s="13" t="s">
        <v>2019</v>
      </c>
      <c r="E251" s="12" t="s">
        <v>1580</v>
      </c>
      <c r="F251" s="12" t="s">
        <v>1581</v>
      </c>
      <c r="G251" s="12" t="s">
        <v>1777</v>
      </c>
      <c r="H251" s="12" t="s">
        <v>1778</v>
      </c>
      <c r="I251" s="12" t="s">
        <v>1776</v>
      </c>
      <c r="J251" s="4" t="s">
        <v>55</v>
      </c>
      <c r="K251" s="4" t="s">
        <v>1498</v>
      </c>
      <c r="L251" s="4" t="s">
        <v>1499</v>
      </c>
      <c r="M251" s="4" t="s">
        <v>1500</v>
      </c>
      <c r="N251" s="4"/>
      <c r="O251" s="4"/>
      <c r="P251" s="4"/>
      <c r="Q251" s="2"/>
      <c r="R251" s="2"/>
      <c r="S251" s="2"/>
      <c r="T251" s="11"/>
      <c r="U251" s="10" t="str">
        <f t="shared" si="31"/>
        <v>SYS.ECSRoCEHealthStatusError</v>
      </c>
      <c r="V251" s="10" t="b">
        <f>ISNUMBER(MATCH(U251,#REF!,0))</f>
        <v>0</v>
      </c>
    </row>
    <row r="252" spans="1:22" ht="57.5" x14ac:dyDescent="0.25">
      <c r="A252" s="12">
        <f t="shared" si="30"/>
        <v>251</v>
      </c>
      <c r="B252" s="12" t="s">
        <v>1038</v>
      </c>
      <c r="C252" s="12" t="s">
        <v>1194</v>
      </c>
      <c r="D252" s="13" t="s">
        <v>2019</v>
      </c>
      <c r="E252" s="12" t="s">
        <v>1582</v>
      </c>
      <c r="F252" s="12" t="s">
        <v>1583</v>
      </c>
      <c r="G252" s="12" t="s">
        <v>1779</v>
      </c>
      <c r="H252" s="12" t="s">
        <v>1780</v>
      </c>
      <c r="I252" s="12" t="s">
        <v>1781</v>
      </c>
      <c r="J252" s="4" t="s">
        <v>55</v>
      </c>
      <c r="K252" s="4" t="s">
        <v>1498</v>
      </c>
      <c r="L252" s="4" t="s">
        <v>1518</v>
      </c>
      <c r="M252" s="4" t="s">
        <v>1500</v>
      </c>
      <c r="N252" s="4"/>
      <c r="O252" s="4"/>
      <c r="P252" s="4"/>
      <c r="Q252" s="2"/>
      <c r="R252" s="2"/>
      <c r="S252" s="2"/>
      <c r="T252" s="11"/>
      <c r="U252" s="10" t="str">
        <f t="shared" si="31"/>
        <v>SYS.ECSHccnConfNotExisted</v>
      </c>
      <c r="V252" s="10" t="b">
        <f>ISNUMBER(MATCH(U252,#REF!,0))</f>
        <v>0</v>
      </c>
    </row>
    <row r="253" spans="1:22" ht="80.5" x14ac:dyDescent="0.25">
      <c r="A253" s="12">
        <f t="shared" si="30"/>
        <v>252</v>
      </c>
      <c r="B253" s="12" t="s">
        <v>1038</v>
      </c>
      <c r="C253" s="12" t="s">
        <v>1194</v>
      </c>
      <c r="D253" s="13" t="s">
        <v>2019</v>
      </c>
      <c r="E253" s="12" t="s">
        <v>1584</v>
      </c>
      <c r="F253" s="12" t="s">
        <v>1585</v>
      </c>
      <c r="G253" s="12" t="s">
        <v>1782</v>
      </c>
      <c r="H253" s="12" t="s">
        <v>1783</v>
      </c>
      <c r="I253" s="12" t="s">
        <v>1784</v>
      </c>
      <c r="J253" s="4" t="s">
        <v>55</v>
      </c>
      <c r="K253" s="4" t="s">
        <v>1498</v>
      </c>
      <c r="L253" s="4" t="s">
        <v>1518</v>
      </c>
      <c r="M253" s="4" t="s">
        <v>1500</v>
      </c>
      <c r="N253" s="4"/>
      <c r="O253" s="4"/>
      <c r="P253" s="4"/>
      <c r="Q253" s="2"/>
      <c r="R253" s="2"/>
      <c r="S253" s="2"/>
      <c r="T253" s="11"/>
      <c r="U253" s="10" t="str">
        <f t="shared" si="31"/>
        <v>SYS.ECSMountDiskSystem</v>
      </c>
      <c r="V253" s="10" t="b">
        <f>ISNUMBER(MATCH(U253,#REF!,0))</f>
        <v>0</v>
      </c>
    </row>
    <row r="254" spans="1:22" ht="46" x14ac:dyDescent="0.25">
      <c r="A254" s="12">
        <f t="shared" si="30"/>
        <v>253</v>
      </c>
      <c r="B254" s="12" t="s">
        <v>1038</v>
      </c>
      <c r="C254" s="12" t="s">
        <v>1194</v>
      </c>
      <c r="D254" s="13" t="s">
        <v>2019</v>
      </c>
      <c r="E254" s="12" t="s">
        <v>1586</v>
      </c>
      <c r="F254" s="12" t="s">
        <v>1587</v>
      </c>
      <c r="G254" s="12" t="s">
        <v>1785</v>
      </c>
      <c r="H254" s="12" t="s">
        <v>1786</v>
      </c>
      <c r="I254" s="12" t="s">
        <v>1787</v>
      </c>
      <c r="J254" s="4" t="s">
        <v>55</v>
      </c>
      <c r="K254" s="4" t="s">
        <v>1498</v>
      </c>
      <c r="L254" s="4" t="s">
        <v>1518</v>
      </c>
      <c r="M254" s="4" t="s">
        <v>1500</v>
      </c>
      <c r="N254" s="4"/>
      <c r="O254" s="4"/>
      <c r="P254" s="4"/>
      <c r="Q254" s="2"/>
      <c r="R254" s="2"/>
      <c r="S254" s="2"/>
      <c r="T254" s="11"/>
      <c r="U254" s="10" t="str">
        <f t="shared" si="31"/>
        <v>SYS.ECSRoCEUdpConfigError</v>
      </c>
      <c r="V254" s="10" t="b">
        <f>ISNUMBER(MATCH(U254,#REF!,0))</f>
        <v>0</v>
      </c>
    </row>
    <row r="255" spans="1:22" ht="103.5" x14ac:dyDescent="0.25">
      <c r="A255" s="12">
        <f t="shared" si="30"/>
        <v>254</v>
      </c>
      <c r="B255" s="12" t="s">
        <v>1038</v>
      </c>
      <c r="C255" s="12" t="s">
        <v>1194</v>
      </c>
      <c r="D255" s="13" t="s">
        <v>2019</v>
      </c>
      <c r="E255" s="12" t="s">
        <v>1588</v>
      </c>
      <c r="F255" s="12" t="s">
        <v>1589</v>
      </c>
      <c r="G255" s="12" t="s">
        <v>1788</v>
      </c>
      <c r="H255" s="12" t="s">
        <v>1789</v>
      </c>
      <c r="I255" s="12" t="s">
        <v>1790</v>
      </c>
      <c r="J255" s="4" t="s">
        <v>55</v>
      </c>
      <c r="K255" s="4" t="s">
        <v>1498</v>
      </c>
      <c r="L255" s="4" t="s">
        <v>1518</v>
      </c>
      <c r="M255" s="4" t="s">
        <v>1500</v>
      </c>
      <c r="N255" s="4"/>
      <c r="O255" s="4"/>
      <c r="P255" s="4"/>
      <c r="Q255" s="2"/>
      <c r="R255" s="2"/>
      <c r="S255" s="2"/>
      <c r="T255" s="11"/>
      <c r="U255" s="10" t="str">
        <f t="shared" si="31"/>
        <v>SYS.ECSNpuToolsWarning</v>
      </c>
      <c r="V255" s="10" t="b">
        <f>ISNUMBER(MATCH(U255,#REF!,0))</f>
        <v>0</v>
      </c>
    </row>
    <row r="256" spans="1:22" ht="34.5" x14ac:dyDescent="0.25">
      <c r="A256" s="12">
        <f t="shared" si="30"/>
        <v>255</v>
      </c>
      <c r="B256" s="12" t="s">
        <v>1038</v>
      </c>
      <c r="C256" s="12" t="s">
        <v>1194</v>
      </c>
      <c r="D256" s="13" t="s">
        <v>2019</v>
      </c>
      <c r="E256" s="12" t="s">
        <v>1925</v>
      </c>
      <c r="F256" s="12" t="s">
        <v>1926</v>
      </c>
      <c r="G256" s="12" t="s">
        <v>1927</v>
      </c>
      <c r="H256" s="12" t="s">
        <v>1806</v>
      </c>
      <c r="I256" s="12" t="s">
        <v>1924</v>
      </c>
      <c r="J256" s="4" t="s">
        <v>55</v>
      </c>
      <c r="K256" s="4" t="s">
        <v>1498</v>
      </c>
      <c r="L256" s="4" t="s">
        <v>1499</v>
      </c>
      <c r="M256" s="4" t="s">
        <v>1500</v>
      </c>
      <c r="N256" s="4"/>
      <c r="O256" s="4"/>
      <c r="P256" s="4"/>
      <c r="Q256" s="2"/>
      <c r="R256" s="2"/>
      <c r="S256" s="2"/>
      <c r="T256" s="11"/>
      <c r="U256" s="10" t="str">
        <f t="shared" si="31"/>
        <v>SYS.ECSDAVPLspciCardNotFound</v>
      </c>
      <c r="V256" s="10" t="b">
        <f>ISNUMBER(MATCH(U256,#REF!,0))</f>
        <v>0</v>
      </c>
    </row>
    <row r="257" spans="1:22" ht="46" x14ac:dyDescent="0.25">
      <c r="A257" s="12">
        <f t="shared" ref="A257:A259" si="32">ROW()-1</f>
        <v>256</v>
      </c>
      <c r="B257" s="12" t="s">
        <v>1038</v>
      </c>
      <c r="C257" s="12" t="s">
        <v>1194</v>
      </c>
      <c r="D257" s="13" t="s">
        <v>2019</v>
      </c>
      <c r="E257" s="12" t="s">
        <v>2013</v>
      </c>
      <c r="F257" s="12" t="s">
        <v>2014</v>
      </c>
      <c r="G257" s="13" t="s">
        <v>2020</v>
      </c>
      <c r="H257" s="13" t="s">
        <v>2021</v>
      </c>
      <c r="I257" s="13" t="s">
        <v>1819</v>
      </c>
      <c r="J257" s="4" t="s">
        <v>55</v>
      </c>
      <c r="K257" s="4" t="s">
        <v>1498</v>
      </c>
      <c r="L257" s="4" t="s">
        <v>1499</v>
      </c>
      <c r="M257" s="4" t="s">
        <v>1500</v>
      </c>
      <c r="N257" s="4"/>
      <c r="O257" s="4"/>
      <c r="P257" s="4"/>
      <c r="Q257" s="2"/>
      <c r="R257" s="2"/>
      <c r="S257" s="2"/>
      <c r="T257" s="11"/>
      <c r="U257" s="10" t="str">
        <f t="shared" ref="U257:U259" si="33">C257&amp;F257</f>
        <v>SYS.ECSNpuL1SwitchPortPartialFunctionFailure</v>
      </c>
      <c r="V257" s="10" t="b">
        <f>ISNUMBER(MATCH(U257,#REF!,0))</f>
        <v>0</v>
      </c>
    </row>
    <row r="258" spans="1:22" ht="46" x14ac:dyDescent="0.25">
      <c r="A258" s="12">
        <f t="shared" si="32"/>
        <v>257</v>
      </c>
      <c r="B258" s="12" t="s">
        <v>1038</v>
      </c>
      <c r="C258" s="12" t="s">
        <v>1194</v>
      </c>
      <c r="D258" s="13" t="s">
        <v>2019</v>
      </c>
      <c r="E258" s="12" t="s">
        <v>2017</v>
      </c>
      <c r="F258" s="12" t="s">
        <v>2018</v>
      </c>
      <c r="G258" s="13" t="s">
        <v>2023</v>
      </c>
      <c r="H258" s="13" t="s">
        <v>2021</v>
      </c>
      <c r="I258" s="13" t="s">
        <v>1819</v>
      </c>
      <c r="J258" s="4" t="s">
        <v>55</v>
      </c>
      <c r="K258" s="4" t="s">
        <v>1498</v>
      </c>
      <c r="L258" s="4" t="s">
        <v>1499</v>
      </c>
      <c r="M258" s="4" t="s">
        <v>1500</v>
      </c>
      <c r="N258" s="4"/>
      <c r="O258" s="4"/>
      <c r="P258" s="4"/>
      <c r="Q258" s="2"/>
      <c r="R258" s="2"/>
      <c r="S258" s="2"/>
      <c r="T258" s="11"/>
      <c r="U258" s="10" t="str">
        <f t="shared" si="33"/>
        <v>SYS.ECSNpuL1SwitchFault</v>
      </c>
      <c r="V258" s="10" t="b">
        <f>ISNUMBER(MATCH(U258,#REF!,0))</f>
        <v>0</v>
      </c>
    </row>
    <row r="259" spans="1:22" ht="69" x14ac:dyDescent="0.25">
      <c r="A259" s="12">
        <f t="shared" si="32"/>
        <v>258</v>
      </c>
      <c r="B259" s="12" t="s">
        <v>1038</v>
      </c>
      <c r="C259" s="12" t="s">
        <v>1194</v>
      </c>
      <c r="D259" s="13" t="s">
        <v>2019</v>
      </c>
      <c r="E259" s="12" t="s">
        <v>2015</v>
      </c>
      <c r="F259" s="12" t="s">
        <v>2016</v>
      </c>
      <c r="G259" s="13" t="s">
        <v>2022</v>
      </c>
      <c r="H259" s="13" t="s">
        <v>2021</v>
      </c>
      <c r="I259" s="13" t="s">
        <v>1767</v>
      </c>
      <c r="J259" s="4" t="s">
        <v>55</v>
      </c>
      <c r="K259" s="4" t="s">
        <v>1498</v>
      </c>
      <c r="L259" s="4" t="s">
        <v>1499</v>
      </c>
      <c r="M259" s="4" t="s">
        <v>1500</v>
      </c>
      <c r="N259" s="4"/>
      <c r="O259" s="4"/>
      <c r="P259" s="4"/>
      <c r="Q259" s="2"/>
      <c r="R259" s="2"/>
      <c r="S259" s="2"/>
      <c r="T259" s="11"/>
      <c r="U259" s="10" t="str">
        <f t="shared" si="33"/>
        <v>SYS.ECSNpuRoceIPAddressMismatch</v>
      </c>
      <c r="V259" s="10" t="b">
        <f>ISNUMBER(MATCH(U259,#REF!,0))</f>
        <v>0</v>
      </c>
    </row>
  </sheetData>
  <autoFilter ref="A1:V259" xr:uid="{00000000-0001-0000-0100-000000000000}"/>
  <phoneticPr fontId="1" type="noConversion"/>
  <dataValidations count="7">
    <dataValidation errorStyle="information" allowBlank="1" showErrorMessage="1" sqref="O1 O124:O150 O233:O259" xr:uid="{18436ABB-BF54-44CE-A0A7-38F73BAA0298}"/>
    <dataValidation type="list" errorStyle="information" allowBlank="1" showErrorMessage="1" errorTitle="错误提示" error="请输入下拉列表中的一个值" sqref="K1:K259" xr:uid="{EE92479A-2335-49A7-B3FB-F3712FB63F07}">
      <formula1>"底线事件"</formula1>
    </dataValidation>
    <dataValidation type="list" errorStyle="information" allowBlank="1" showErrorMessage="1" errorTitle="错误提示" error="请输入下拉列表中的一个值" sqref="L1:L259" xr:uid="{D073FE85-EF27-462B-ACB6-AD6B369AE9C8}">
      <formula1>"紧急,重要,次要,提示"</formula1>
    </dataValidation>
    <dataValidation type="list" errorStyle="information" allowBlank="1" showErrorMessage="1" errorTitle="错误提示" error="请输入下拉列表中的一个值" sqref="N1:N259" xr:uid="{603E4BE3-EC53-427F-A1D0-EB3DAF3F2C11}">
      <formula1>"在5分钟内,在20分钟内,在1小时内,在4小时内,在24小时内"</formula1>
    </dataValidation>
    <dataValidation type="list" errorStyle="information" allowBlank="1" showErrorMessage="1" errorTitle="错误提示" error="请输入下拉列表中的一个值" sqref="M1:M259" xr:uid="{C32231BC-C1F9-45E5-80D3-1DF2DF79838C}">
      <formula1>"触发,累计触发"</formula1>
    </dataValidation>
    <dataValidation type="list" errorStyle="information" allowBlank="1" showErrorMessage="1" errorTitle="错误提示" error="请输入下拉列表中的一个值" sqref="P1:P259" xr:uid="{DCFC3EF6-B5A0-4C1A-AE37-62E7A973DF1E}">
      <formula1>"只告警一次,每5分钟告警一次,每10分钟告警一次,每15分钟告警一次,每30分钟告警一次,每1小时告警一次,每3小时告警一次,每6小时告警一次,每12小时告警一次,每1天告警一次"</formula1>
    </dataValidation>
    <dataValidation type="list" errorStyle="information" allowBlank="1" showErrorMessage="1" errorTitle="错误提示" error="请输入下拉列表中的一个值" sqref="T1:T259" xr:uid="{F0387E89-727C-4E39-8D7E-49E6FB0FBA3E}">
      <formula1>"资源稳定,性能高效,架构优化,安全稳固,成本精益"</formula1>
    </dataValidation>
  </dataValidations>
  <pageMargins left="0.75" right="0.75" top="1" bottom="1" header="0.5" footer="0.5"/>
  <pageSetup paperSize="9" orientation="portrait" r:id="rId1"/>
  <headerFooter alignWithMargins="0">
    <oddHeader>&amp;L&amp;G&amp;C&amp;F&amp;R文档密级</oddHeader>
    <oddFooter>&amp;L&amp;D&amp;C华为机密，未经许可不得扩散&amp;R第&amp;P页，共&amp;N页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EDD1-D899-4C96-905B-80921BD63B7C}">
  <dimension ref="A1:R22"/>
  <sheetViews>
    <sheetView workbookViewId="0">
      <selection activeCell="I1" sqref="I1"/>
    </sheetView>
  </sheetViews>
  <sheetFormatPr defaultRowHeight="14" x14ac:dyDescent="0.25"/>
  <sheetData>
    <row r="1" spans="1:18" ht="36" x14ac:dyDescent="0.25">
      <c r="A1" s="39" t="s">
        <v>2024</v>
      </c>
      <c r="B1" s="39" t="s">
        <v>5</v>
      </c>
      <c r="C1" s="39" t="s">
        <v>6</v>
      </c>
      <c r="D1" s="39" t="s">
        <v>7</v>
      </c>
      <c r="E1" s="39" t="s">
        <v>8</v>
      </c>
      <c r="F1" s="40" t="s">
        <v>2025</v>
      </c>
      <c r="G1" s="39" t="s">
        <v>2026</v>
      </c>
      <c r="H1" s="39" t="s">
        <v>20</v>
      </c>
      <c r="I1" s="41" t="s">
        <v>14</v>
      </c>
      <c r="J1" s="41" t="s">
        <v>2027</v>
      </c>
      <c r="K1" s="41" t="s">
        <v>2028</v>
      </c>
      <c r="L1" s="41" t="s">
        <v>1485</v>
      </c>
      <c r="M1" s="41" t="s">
        <v>2029</v>
      </c>
      <c r="N1" s="41" t="s">
        <v>2030</v>
      </c>
      <c r="O1" s="41" t="s">
        <v>2031</v>
      </c>
      <c r="P1" s="41" t="s">
        <v>2032</v>
      </c>
      <c r="Q1" s="41" t="s">
        <v>22</v>
      </c>
      <c r="R1" s="42" t="s">
        <v>34</v>
      </c>
    </row>
    <row r="2" spans="1:18" ht="65" x14ac:dyDescent="0.35">
      <c r="A2" s="43" t="s">
        <v>2033</v>
      </c>
      <c r="B2" s="44" t="s">
        <v>2034</v>
      </c>
      <c r="C2" s="45" t="s">
        <v>2035</v>
      </c>
      <c r="D2" s="46" t="s">
        <v>2036</v>
      </c>
      <c r="E2" s="47" t="s">
        <v>2037</v>
      </c>
      <c r="F2" s="45" t="s">
        <v>2038</v>
      </c>
      <c r="G2" s="48" t="s">
        <v>39</v>
      </c>
      <c r="H2" s="47" t="s">
        <v>2039</v>
      </c>
      <c r="I2" s="48" t="s">
        <v>59</v>
      </c>
      <c r="J2" s="49" t="s">
        <v>2040</v>
      </c>
      <c r="K2" s="48" t="s">
        <v>2041</v>
      </c>
      <c r="L2" s="48" t="s">
        <v>1499</v>
      </c>
      <c r="M2" s="50" t="s">
        <v>2038</v>
      </c>
      <c r="N2" s="50" t="s">
        <v>2038</v>
      </c>
      <c r="O2" s="50" t="s">
        <v>2042</v>
      </c>
      <c r="P2" s="51"/>
      <c r="Q2" s="51"/>
      <c r="R2" s="51"/>
    </row>
    <row r="3" spans="1:18" ht="65" x14ac:dyDescent="0.35">
      <c r="A3" s="43" t="s">
        <v>2033</v>
      </c>
      <c r="B3" s="44" t="s">
        <v>2034</v>
      </c>
      <c r="C3" s="45" t="s">
        <v>2043</v>
      </c>
      <c r="D3" s="46" t="s">
        <v>2044</v>
      </c>
      <c r="E3" s="47" t="s">
        <v>2045</v>
      </c>
      <c r="F3" s="45" t="s">
        <v>2038</v>
      </c>
      <c r="G3" s="48" t="s">
        <v>39</v>
      </c>
      <c r="H3" s="47" t="s">
        <v>2039</v>
      </c>
      <c r="I3" s="48" t="s">
        <v>59</v>
      </c>
      <c r="J3" s="49" t="s">
        <v>2046</v>
      </c>
      <c r="K3" s="48" t="s">
        <v>2041</v>
      </c>
      <c r="L3" s="48" t="s">
        <v>1499</v>
      </c>
      <c r="M3" s="50" t="s">
        <v>2038</v>
      </c>
      <c r="N3" s="50" t="s">
        <v>2038</v>
      </c>
      <c r="O3" s="50" t="s">
        <v>2042</v>
      </c>
      <c r="P3" s="51"/>
      <c r="Q3" s="51"/>
      <c r="R3" s="51"/>
    </row>
    <row r="4" spans="1:18" ht="409.6" x14ac:dyDescent="0.35">
      <c r="A4" s="43" t="s">
        <v>2033</v>
      </c>
      <c r="B4" s="44" t="s">
        <v>2034</v>
      </c>
      <c r="C4" s="47" t="s">
        <v>2047</v>
      </c>
      <c r="D4" s="52" t="s">
        <v>2048</v>
      </c>
      <c r="E4" s="47" t="s">
        <v>2049</v>
      </c>
      <c r="F4" s="45" t="s">
        <v>2038</v>
      </c>
      <c r="G4" s="48" t="s">
        <v>45</v>
      </c>
      <c r="H4" s="47" t="s">
        <v>571</v>
      </c>
      <c r="I4" s="48" t="s">
        <v>59</v>
      </c>
      <c r="J4" s="49" t="s">
        <v>2050</v>
      </c>
      <c r="K4" s="48" t="s">
        <v>2041</v>
      </c>
      <c r="L4" s="48" t="s">
        <v>1499</v>
      </c>
      <c r="M4" s="50" t="s">
        <v>2038</v>
      </c>
      <c r="N4" s="50" t="s">
        <v>2038</v>
      </c>
      <c r="O4" s="50" t="s">
        <v>2042</v>
      </c>
      <c r="P4" s="51"/>
      <c r="Q4" s="53" t="s">
        <v>2051</v>
      </c>
      <c r="R4" s="51"/>
    </row>
    <row r="5" spans="1:18" ht="65" x14ac:dyDescent="0.35">
      <c r="A5" s="43" t="s">
        <v>2033</v>
      </c>
      <c r="B5" s="44" t="s">
        <v>2052</v>
      </c>
      <c r="C5" s="47" t="s">
        <v>72</v>
      </c>
      <c r="D5" s="54" t="s">
        <v>2053</v>
      </c>
      <c r="E5" s="47" t="s">
        <v>2054</v>
      </c>
      <c r="F5" s="45" t="s">
        <v>2038</v>
      </c>
      <c r="G5" s="48" t="s">
        <v>39</v>
      </c>
      <c r="H5" s="47" t="s">
        <v>2039</v>
      </c>
      <c r="I5" s="48" t="s">
        <v>59</v>
      </c>
      <c r="J5" s="49" t="s">
        <v>2055</v>
      </c>
      <c r="K5" s="48" t="s">
        <v>2041</v>
      </c>
      <c r="L5" s="48" t="s">
        <v>1499</v>
      </c>
      <c r="M5" s="50" t="s">
        <v>2038</v>
      </c>
      <c r="N5" s="50" t="s">
        <v>2038</v>
      </c>
      <c r="O5" s="50" t="s">
        <v>2042</v>
      </c>
      <c r="P5" s="51"/>
      <c r="Q5" s="51"/>
      <c r="R5" s="51"/>
    </row>
    <row r="6" spans="1:18" ht="117" x14ac:dyDescent="0.35">
      <c r="A6" s="43" t="s">
        <v>2033</v>
      </c>
      <c r="B6" s="44" t="s">
        <v>2052</v>
      </c>
      <c r="C6" s="47" t="s">
        <v>2056</v>
      </c>
      <c r="D6" s="52" t="s">
        <v>2057</v>
      </c>
      <c r="E6" s="47" t="s">
        <v>2058</v>
      </c>
      <c r="F6" s="45" t="s">
        <v>2038</v>
      </c>
      <c r="G6" s="48" t="s">
        <v>39</v>
      </c>
      <c r="H6" s="47" t="s">
        <v>2039</v>
      </c>
      <c r="I6" s="48" t="s">
        <v>59</v>
      </c>
      <c r="J6" s="49" t="s">
        <v>2059</v>
      </c>
      <c r="K6" s="48" t="s">
        <v>2041</v>
      </c>
      <c r="L6" s="48" t="s">
        <v>1499</v>
      </c>
      <c r="M6" s="50" t="s">
        <v>2038</v>
      </c>
      <c r="N6" s="50" t="s">
        <v>2038</v>
      </c>
      <c r="O6" s="50" t="s">
        <v>2042</v>
      </c>
      <c r="P6" s="51"/>
      <c r="Q6" s="51"/>
      <c r="R6" s="51"/>
    </row>
    <row r="7" spans="1:18" ht="126.5" x14ac:dyDescent="0.35">
      <c r="A7" s="43" t="s">
        <v>2033</v>
      </c>
      <c r="B7" s="44" t="s">
        <v>2060</v>
      </c>
      <c r="C7" s="47" t="s">
        <v>72</v>
      </c>
      <c r="D7" s="47" t="s">
        <v>2061</v>
      </c>
      <c r="E7" s="47" t="s">
        <v>2062</v>
      </c>
      <c r="F7" s="45" t="s">
        <v>2038</v>
      </c>
      <c r="G7" s="48" t="s">
        <v>45</v>
      </c>
      <c r="H7" s="47" t="s">
        <v>571</v>
      </c>
      <c r="I7" s="48" t="s">
        <v>59</v>
      </c>
      <c r="J7" s="50" t="s">
        <v>2063</v>
      </c>
      <c r="K7" s="48" t="s">
        <v>2064</v>
      </c>
      <c r="L7" s="50" t="s">
        <v>1499</v>
      </c>
      <c r="M7" s="50" t="s">
        <v>2038</v>
      </c>
      <c r="N7" s="50" t="s">
        <v>2038</v>
      </c>
      <c r="O7" s="50" t="s">
        <v>2042</v>
      </c>
      <c r="P7" s="51"/>
      <c r="Q7" s="51"/>
      <c r="R7" s="51"/>
    </row>
    <row r="8" spans="1:18" ht="104" x14ac:dyDescent="0.35">
      <c r="A8" s="43" t="s">
        <v>2033</v>
      </c>
      <c r="B8" s="44" t="s">
        <v>2060</v>
      </c>
      <c r="C8" s="47" t="s">
        <v>2056</v>
      </c>
      <c r="D8" s="47" t="s">
        <v>2065</v>
      </c>
      <c r="E8" s="47" t="s">
        <v>2066</v>
      </c>
      <c r="F8" s="45" t="s">
        <v>2038</v>
      </c>
      <c r="G8" s="48" t="s">
        <v>45</v>
      </c>
      <c r="H8" s="47" t="s">
        <v>2067</v>
      </c>
      <c r="I8" s="48" t="s">
        <v>59</v>
      </c>
      <c r="J8" s="48" t="s">
        <v>2068</v>
      </c>
      <c r="K8" s="48" t="s">
        <v>2069</v>
      </c>
      <c r="L8" s="48" t="s">
        <v>1499</v>
      </c>
      <c r="M8" s="50" t="s">
        <v>2038</v>
      </c>
      <c r="N8" s="50" t="s">
        <v>2038</v>
      </c>
      <c r="O8" s="50" t="s">
        <v>2042</v>
      </c>
      <c r="P8" s="51"/>
      <c r="Q8" s="51"/>
      <c r="R8" s="51"/>
    </row>
    <row r="9" spans="1:18" ht="149.5" x14ac:dyDescent="0.35">
      <c r="A9" s="43" t="s">
        <v>2033</v>
      </c>
      <c r="B9" s="44" t="s">
        <v>2060</v>
      </c>
      <c r="C9" s="47" t="s">
        <v>79</v>
      </c>
      <c r="D9" s="47" t="s">
        <v>2070</v>
      </c>
      <c r="E9" s="47" t="s">
        <v>2071</v>
      </c>
      <c r="F9" s="45" t="s">
        <v>2038</v>
      </c>
      <c r="G9" s="48" t="s">
        <v>45</v>
      </c>
      <c r="H9" s="47" t="s">
        <v>2067</v>
      </c>
      <c r="I9" s="48" t="s">
        <v>59</v>
      </c>
      <c r="J9" s="48" t="s">
        <v>2072</v>
      </c>
      <c r="K9" s="48" t="s">
        <v>2073</v>
      </c>
      <c r="L9" s="48" t="s">
        <v>1499</v>
      </c>
      <c r="M9" s="50" t="s">
        <v>2038</v>
      </c>
      <c r="N9" s="50" t="s">
        <v>2038</v>
      </c>
      <c r="O9" s="50" t="s">
        <v>2042</v>
      </c>
      <c r="P9" s="51"/>
      <c r="Q9" s="51"/>
      <c r="R9" s="51"/>
    </row>
    <row r="10" spans="1:18" ht="195.5" x14ac:dyDescent="0.35">
      <c r="A10" s="43" t="s">
        <v>2033</v>
      </c>
      <c r="B10" s="44" t="s">
        <v>2060</v>
      </c>
      <c r="C10" s="47" t="s">
        <v>2074</v>
      </c>
      <c r="D10" s="47" t="s">
        <v>2075</v>
      </c>
      <c r="E10" s="47" t="s">
        <v>2076</v>
      </c>
      <c r="F10" s="45" t="s">
        <v>2038</v>
      </c>
      <c r="G10" s="48" t="s">
        <v>45</v>
      </c>
      <c r="H10" s="47" t="s">
        <v>2067</v>
      </c>
      <c r="I10" s="48" t="s">
        <v>59</v>
      </c>
      <c r="J10" s="48" t="s">
        <v>2077</v>
      </c>
      <c r="K10" s="48" t="s">
        <v>2078</v>
      </c>
      <c r="L10" s="48" t="s">
        <v>1499</v>
      </c>
      <c r="M10" s="50" t="s">
        <v>2038</v>
      </c>
      <c r="N10" s="50" t="s">
        <v>2038</v>
      </c>
      <c r="O10" s="50" t="s">
        <v>2042</v>
      </c>
      <c r="P10" s="51"/>
      <c r="Q10" s="51"/>
      <c r="R10" s="51"/>
    </row>
    <row r="11" spans="1:18" ht="241.5" x14ac:dyDescent="0.35">
      <c r="A11" s="43" t="s">
        <v>2033</v>
      </c>
      <c r="B11" s="44" t="s">
        <v>2060</v>
      </c>
      <c r="C11" s="47" t="s">
        <v>2079</v>
      </c>
      <c r="D11" s="47" t="s">
        <v>2080</v>
      </c>
      <c r="E11" s="47" t="s">
        <v>2081</v>
      </c>
      <c r="F11" s="45" t="s">
        <v>2038</v>
      </c>
      <c r="G11" s="48" t="s">
        <v>45</v>
      </c>
      <c r="H11" s="47" t="s">
        <v>571</v>
      </c>
      <c r="I11" s="48" t="s">
        <v>59</v>
      </c>
      <c r="J11" s="48" t="s">
        <v>2082</v>
      </c>
      <c r="K11" s="48" t="s">
        <v>2083</v>
      </c>
      <c r="L11" s="48" t="s">
        <v>1499</v>
      </c>
      <c r="M11" s="50" t="s">
        <v>2038</v>
      </c>
      <c r="N11" s="50" t="s">
        <v>2038</v>
      </c>
      <c r="O11" s="50" t="s">
        <v>2042</v>
      </c>
      <c r="P11" s="51"/>
      <c r="Q11" s="51"/>
      <c r="R11" s="51"/>
    </row>
    <row r="12" spans="1:18" ht="161" x14ac:dyDescent="0.35">
      <c r="A12" s="43" t="s">
        <v>2033</v>
      </c>
      <c r="B12" s="44" t="s">
        <v>2060</v>
      </c>
      <c r="C12" s="47" t="s">
        <v>2084</v>
      </c>
      <c r="D12" s="47" t="s">
        <v>2085</v>
      </c>
      <c r="E12" s="47" t="s">
        <v>2086</v>
      </c>
      <c r="F12" s="45" t="s">
        <v>2038</v>
      </c>
      <c r="G12" s="48" t="s">
        <v>45</v>
      </c>
      <c r="H12" s="47" t="s">
        <v>571</v>
      </c>
      <c r="I12" s="48" t="s">
        <v>59</v>
      </c>
      <c r="J12" s="48" t="s">
        <v>2087</v>
      </c>
      <c r="K12" s="48" t="s">
        <v>2088</v>
      </c>
      <c r="L12" s="48" t="s">
        <v>1499</v>
      </c>
      <c r="M12" s="50" t="s">
        <v>2038</v>
      </c>
      <c r="N12" s="50" t="s">
        <v>2038</v>
      </c>
      <c r="O12" s="50" t="s">
        <v>2042</v>
      </c>
      <c r="P12" s="51"/>
      <c r="Q12" s="51"/>
      <c r="R12" s="51"/>
    </row>
    <row r="13" spans="1:18" ht="310.5" x14ac:dyDescent="0.35">
      <c r="A13" s="43" t="s">
        <v>2033</v>
      </c>
      <c r="B13" s="44" t="s">
        <v>2089</v>
      </c>
      <c r="C13" s="47" t="s">
        <v>2090</v>
      </c>
      <c r="D13" s="47" t="s">
        <v>2091</v>
      </c>
      <c r="E13" s="47" t="s">
        <v>2092</v>
      </c>
      <c r="F13" s="45" t="s">
        <v>2038</v>
      </c>
      <c r="G13" s="48" t="s">
        <v>45</v>
      </c>
      <c r="H13" s="47" t="s">
        <v>571</v>
      </c>
      <c r="I13" s="48" t="s">
        <v>59</v>
      </c>
      <c r="J13" s="48" t="s">
        <v>2093</v>
      </c>
      <c r="K13" s="48" t="s">
        <v>2094</v>
      </c>
      <c r="L13" s="48" t="s">
        <v>1499</v>
      </c>
      <c r="M13" s="50" t="s">
        <v>2038</v>
      </c>
      <c r="N13" s="50" t="s">
        <v>2038</v>
      </c>
      <c r="O13" s="50" t="s">
        <v>2042</v>
      </c>
      <c r="P13" s="51"/>
      <c r="Q13" s="51"/>
      <c r="R13" s="51"/>
    </row>
    <row r="14" spans="1:18" ht="161" x14ac:dyDescent="0.35">
      <c r="A14" s="43" t="s">
        <v>2033</v>
      </c>
      <c r="B14" s="44" t="s">
        <v>2089</v>
      </c>
      <c r="C14" s="47" t="s">
        <v>2095</v>
      </c>
      <c r="D14" s="47" t="s">
        <v>2096</v>
      </c>
      <c r="E14" s="47" t="s">
        <v>2097</v>
      </c>
      <c r="F14" s="45" t="s">
        <v>2038</v>
      </c>
      <c r="G14" s="48" t="s">
        <v>45</v>
      </c>
      <c r="H14" s="47" t="s">
        <v>571</v>
      </c>
      <c r="I14" s="48" t="s">
        <v>59</v>
      </c>
      <c r="J14" s="48" t="s">
        <v>2098</v>
      </c>
      <c r="K14" s="48" t="s">
        <v>2099</v>
      </c>
      <c r="L14" s="48" t="s">
        <v>1518</v>
      </c>
      <c r="M14" s="50" t="s">
        <v>2038</v>
      </c>
      <c r="N14" s="50" t="s">
        <v>2038</v>
      </c>
      <c r="O14" s="50" t="s">
        <v>2042</v>
      </c>
      <c r="P14" s="51"/>
      <c r="Q14" s="51"/>
      <c r="R14" s="51"/>
    </row>
    <row r="15" spans="1:18" ht="103.5" x14ac:dyDescent="0.35">
      <c r="A15" s="43" t="s">
        <v>2033</v>
      </c>
      <c r="B15" s="44" t="s">
        <v>2089</v>
      </c>
      <c r="C15" s="47" t="s">
        <v>2100</v>
      </c>
      <c r="D15" s="47" t="s">
        <v>2101</v>
      </c>
      <c r="E15" s="47" t="s">
        <v>2102</v>
      </c>
      <c r="F15" s="45" t="s">
        <v>2038</v>
      </c>
      <c r="G15" s="48" t="s">
        <v>45</v>
      </c>
      <c r="H15" s="47" t="s">
        <v>571</v>
      </c>
      <c r="I15" s="48" t="s">
        <v>59</v>
      </c>
      <c r="J15" s="48" t="s">
        <v>2103</v>
      </c>
      <c r="K15" s="48" t="s">
        <v>2104</v>
      </c>
      <c r="L15" s="48" t="s">
        <v>1499</v>
      </c>
      <c r="M15" s="50" t="s">
        <v>2038</v>
      </c>
      <c r="N15" s="50" t="s">
        <v>2038</v>
      </c>
      <c r="O15" s="50" t="s">
        <v>2042</v>
      </c>
      <c r="P15" s="51"/>
      <c r="Q15" s="51"/>
      <c r="R15" s="51"/>
    </row>
    <row r="16" spans="1:18" ht="345" x14ac:dyDescent="0.35">
      <c r="A16" s="43" t="s">
        <v>2033</v>
      </c>
      <c r="B16" s="44" t="s">
        <v>2089</v>
      </c>
      <c r="C16" s="47" t="s">
        <v>72</v>
      </c>
      <c r="D16" s="47" t="s">
        <v>2105</v>
      </c>
      <c r="E16" s="47" t="s">
        <v>2106</v>
      </c>
      <c r="F16" s="45" t="s">
        <v>2038</v>
      </c>
      <c r="G16" s="48" t="s">
        <v>45</v>
      </c>
      <c r="H16" s="47" t="s">
        <v>571</v>
      </c>
      <c r="I16" s="48" t="s">
        <v>59</v>
      </c>
      <c r="J16" s="48" t="s">
        <v>2107</v>
      </c>
      <c r="K16" s="48" t="s">
        <v>2108</v>
      </c>
      <c r="L16" s="48" t="s">
        <v>1518</v>
      </c>
      <c r="M16" s="50" t="s">
        <v>2038</v>
      </c>
      <c r="N16" s="50" t="s">
        <v>2038</v>
      </c>
      <c r="O16" s="50" t="s">
        <v>2042</v>
      </c>
      <c r="P16" s="51"/>
      <c r="Q16" s="51"/>
      <c r="R16" s="51"/>
    </row>
    <row r="17" spans="1:18" ht="322" x14ac:dyDescent="0.35">
      <c r="A17" s="43" t="s">
        <v>2033</v>
      </c>
      <c r="B17" s="44" t="s">
        <v>2089</v>
      </c>
      <c r="C17" s="47" t="s">
        <v>2056</v>
      </c>
      <c r="D17" s="47" t="s">
        <v>2109</v>
      </c>
      <c r="E17" s="47" t="s">
        <v>2110</v>
      </c>
      <c r="F17" s="45" t="s">
        <v>2038</v>
      </c>
      <c r="G17" s="48" t="s">
        <v>45</v>
      </c>
      <c r="H17" s="47" t="s">
        <v>2067</v>
      </c>
      <c r="I17" s="48" t="s">
        <v>59</v>
      </c>
      <c r="J17" s="48" t="s">
        <v>2111</v>
      </c>
      <c r="K17" s="48" t="s">
        <v>2112</v>
      </c>
      <c r="L17" s="48" t="s">
        <v>1518</v>
      </c>
      <c r="M17" s="50" t="s">
        <v>2038</v>
      </c>
      <c r="N17" s="50" t="s">
        <v>2038</v>
      </c>
      <c r="O17" s="50" t="s">
        <v>2042</v>
      </c>
      <c r="P17" s="51"/>
      <c r="Q17" s="51"/>
      <c r="R17" s="51"/>
    </row>
    <row r="18" spans="1:18" ht="409.5" x14ac:dyDescent="0.35">
      <c r="A18" s="43" t="s">
        <v>2033</v>
      </c>
      <c r="B18" s="44" t="s">
        <v>2113</v>
      </c>
      <c r="C18" s="47" t="s">
        <v>2114</v>
      </c>
      <c r="D18" s="47" t="s">
        <v>2105</v>
      </c>
      <c r="E18" s="47" t="s">
        <v>2115</v>
      </c>
      <c r="F18" s="45" t="s">
        <v>2038</v>
      </c>
      <c r="G18" s="48" t="s">
        <v>45</v>
      </c>
      <c r="H18" s="47" t="s">
        <v>571</v>
      </c>
      <c r="I18" s="48" t="s">
        <v>59</v>
      </c>
      <c r="J18" s="48" t="s">
        <v>2116</v>
      </c>
      <c r="K18" s="48" t="s">
        <v>2117</v>
      </c>
      <c r="L18" s="48" t="s">
        <v>1499</v>
      </c>
      <c r="M18" s="50" t="s">
        <v>2038</v>
      </c>
      <c r="N18" s="50" t="s">
        <v>2038</v>
      </c>
      <c r="O18" s="50" t="s">
        <v>2042</v>
      </c>
      <c r="P18" s="51"/>
      <c r="Q18" s="51"/>
      <c r="R18" s="51"/>
    </row>
    <row r="19" spans="1:18" ht="409.5" x14ac:dyDescent="0.35">
      <c r="A19" s="43" t="s">
        <v>2033</v>
      </c>
      <c r="B19" s="44" t="s">
        <v>2113</v>
      </c>
      <c r="C19" s="47" t="s">
        <v>2118</v>
      </c>
      <c r="D19" s="47" t="s">
        <v>2109</v>
      </c>
      <c r="E19" s="47" t="s">
        <v>2119</v>
      </c>
      <c r="F19" s="45" t="s">
        <v>2038</v>
      </c>
      <c r="G19" s="48" t="s">
        <v>45</v>
      </c>
      <c r="H19" s="47" t="s">
        <v>2067</v>
      </c>
      <c r="I19" s="48" t="s">
        <v>59</v>
      </c>
      <c r="J19" s="48" t="s">
        <v>2120</v>
      </c>
      <c r="K19" s="48" t="s">
        <v>2121</v>
      </c>
      <c r="L19" s="48" t="s">
        <v>1499</v>
      </c>
      <c r="M19" s="50" t="s">
        <v>2038</v>
      </c>
      <c r="N19" s="50" t="s">
        <v>2038</v>
      </c>
      <c r="O19" s="50" t="s">
        <v>2042</v>
      </c>
      <c r="P19" s="51"/>
      <c r="Q19" s="51"/>
      <c r="R19" s="51"/>
    </row>
    <row r="20" spans="1:18" ht="195.5" x14ac:dyDescent="0.35">
      <c r="A20" s="43" t="s">
        <v>2033</v>
      </c>
      <c r="B20" s="44" t="s">
        <v>2113</v>
      </c>
      <c r="C20" s="47" t="s">
        <v>2122</v>
      </c>
      <c r="D20" s="47" t="s">
        <v>2123</v>
      </c>
      <c r="E20" s="47" t="s">
        <v>2124</v>
      </c>
      <c r="F20" s="45" t="s">
        <v>2038</v>
      </c>
      <c r="G20" s="48" t="s">
        <v>45</v>
      </c>
      <c r="H20" s="47" t="s">
        <v>571</v>
      </c>
      <c r="I20" s="48" t="s">
        <v>59</v>
      </c>
      <c r="J20" s="48" t="s">
        <v>2125</v>
      </c>
      <c r="K20" s="48" t="s">
        <v>2126</v>
      </c>
      <c r="L20" s="48" t="s">
        <v>1499</v>
      </c>
      <c r="M20" s="50" t="s">
        <v>2038</v>
      </c>
      <c r="N20" s="50" t="s">
        <v>2038</v>
      </c>
      <c r="O20" s="50" t="s">
        <v>2042</v>
      </c>
      <c r="P20" s="51"/>
      <c r="Q20" s="51"/>
      <c r="R20" s="51"/>
    </row>
    <row r="21" spans="1:18" ht="409.5" x14ac:dyDescent="0.35">
      <c r="A21" s="43" t="s">
        <v>2033</v>
      </c>
      <c r="B21" s="44" t="s">
        <v>2113</v>
      </c>
      <c r="C21" s="47" t="s">
        <v>2127</v>
      </c>
      <c r="D21" s="47" t="s">
        <v>2105</v>
      </c>
      <c r="E21" s="47" t="s">
        <v>2128</v>
      </c>
      <c r="F21" s="45" t="s">
        <v>2038</v>
      </c>
      <c r="G21" s="48" t="s">
        <v>45</v>
      </c>
      <c r="H21" s="47" t="s">
        <v>571</v>
      </c>
      <c r="I21" s="48" t="s">
        <v>59</v>
      </c>
      <c r="J21" s="48" t="s">
        <v>2129</v>
      </c>
      <c r="K21" s="48" t="s">
        <v>2130</v>
      </c>
      <c r="L21" s="48" t="s">
        <v>1499</v>
      </c>
      <c r="M21" s="50" t="s">
        <v>2038</v>
      </c>
      <c r="N21" s="50" t="s">
        <v>2038</v>
      </c>
      <c r="O21" s="50" t="s">
        <v>2042</v>
      </c>
      <c r="P21" s="51"/>
      <c r="Q21" s="51"/>
      <c r="R21" s="51"/>
    </row>
    <row r="22" spans="1:18" ht="409.5" x14ac:dyDescent="0.35">
      <c r="A22" s="43" t="s">
        <v>2033</v>
      </c>
      <c r="B22" s="44" t="s">
        <v>2113</v>
      </c>
      <c r="C22" s="47" t="s">
        <v>2131</v>
      </c>
      <c r="D22" s="47" t="s">
        <v>2109</v>
      </c>
      <c r="E22" s="47" t="s">
        <v>2132</v>
      </c>
      <c r="F22" s="45" t="s">
        <v>2038</v>
      </c>
      <c r="G22" s="48" t="s">
        <v>45</v>
      </c>
      <c r="H22" s="47" t="s">
        <v>2067</v>
      </c>
      <c r="I22" s="48" t="s">
        <v>59</v>
      </c>
      <c r="J22" s="48" t="s">
        <v>2133</v>
      </c>
      <c r="K22" s="48" t="s">
        <v>2134</v>
      </c>
      <c r="L22" s="48" t="s">
        <v>1499</v>
      </c>
      <c r="M22" s="50" t="s">
        <v>2038</v>
      </c>
      <c r="N22" s="50" t="s">
        <v>2038</v>
      </c>
      <c r="O22" s="50" t="s">
        <v>2042</v>
      </c>
      <c r="P22" s="51"/>
      <c r="Q22" s="51"/>
      <c r="R22" s="51"/>
    </row>
  </sheetData>
  <phoneticPr fontId="1" type="noConversion"/>
  <dataValidations count="1">
    <dataValidation type="list" errorStyle="information" allowBlank="1" showErrorMessage="1" errorTitle="错误提示" error="请输入下拉列表中的一个值" sqref="R1:R22" xr:uid="{85454A4F-DD9E-4AD0-A0B8-8D125EF561D3}">
      <formula1>"资源稳定,性能高效,架构优化,安全稳固,成本精益"</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4D77-1ED8-4F46-AD3D-F64AC6889232}">
  <dimension ref="A1:V37"/>
  <sheetViews>
    <sheetView workbookViewId="0">
      <selection activeCell="G40" sqref="G40"/>
    </sheetView>
  </sheetViews>
  <sheetFormatPr defaultRowHeight="14" x14ac:dyDescent="0.25"/>
  <cols>
    <col min="3" max="3" width="26.08984375" customWidth="1"/>
    <col min="5" max="5" width="18.6328125" customWidth="1"/>
    <col min="6" max="6" width="21.36328125" customWidth="1"/>
    <col min="7" max="7" width="29.7265625" customWidth="1"/>
    <col min="11" max="11" width="11.36328125" customWidth="1"/>
  </cols>
  <sheetData>
    <row r="1" spans="1:22" ht="24" x14ac:dyDescent="0.25">
      <c r="A1" s="39" t="s">
        <v>2135</v>
      </c>
      <c r="B1" s="55" t="s">
        <v>3</v>
      </c>
      <c r="C1" s="55" t="s">
        <v>2</v>
      </c>
      <c r="D1" s="55" t="s">
        <v>4</v>
      </c>
      <c r="E1" s="55" t="s">
        <v>5</v>
      </c>
      <c r="F1" s="55" t="s">
        <v>6</v>
      </c>
      <c r="G1" s="55" t="s">
        <v>7</v>
      </c>
      <c r="H1" s="55" t="s">
        <v>12</v>
      </c>
      <c r="I1" s="56" t="s">
        <v>13</v>
      </c>
      <c r="J1" s="56" t="s">
        <v>14</v>
      </c>
      <c r="K1" s="56" t="s">
        <v>2136</v>
      </c>
      <c r="L1" s="56" t="s">
        <v>2137</v>
      </c>
      <c r="M1" s="56" t="s">
        <v>29</v>
      </c>
      <c r="N1" s="41" t="s">
        <v>18</v>
      </c>
      <c r="O1" s="56" t="s">
        <v>19</v>
      </c>
      <c r="P1" s="56" t="s">
        <v>2138</v>
      </c>
      <c r="Q1" s="56" t="s">
        <v>2030</v>
      </c>
      <c r="R1" s="56" t="s">
        <v>2139</v>
      </c>
      <c r="S1" s="56" t="s">
        <v>2140</v>
      </c>
      <c r="T1" s="56" t="s">
        <v>2141</v>
      </c>
      <c r="U1" s="56" t="s">
        <v>2142</v>
      </c>
      <c r="V1" s="42" t="s">
        <v>34</v>
      </c>
    </row>
    <row r="2" spans="1:22" ht="14.5" x14ac:dyDescent="0.3">
      <c r="A2" s="57">
        <v>3</v>
      </c>
      <c r="B2" s="57" t="s">
        <v>2143</v>
      </c>
      <c r="C2" s="57" t="s">
        <v>2144</v>
      </c>
      <c r="D2" s="57" t="s">
        <v>162</v>
      </c>
      <c r="E2" s="57" t="s">
        <v>2145</v>
      </c>
      <c r="F2" s="57" t="s">
        <v>2147</v>
      </c>
      <c r="G2" s="57" t="s">
        <v>2148</v>
      </c>
      <c r="H2" s="57" t="s">
        <v>2146</v>
      </c>
      <c r="I2" s="58" t="s">
        <v>55</v>
      </c>
      <c r="J2" s="58" t="s">
        <v>59</v>
      </c>
      <c r="K2" s="59" t="s">
        <v>151</v>
      </c>
      <c r="L2" s="59" t="s">
        <v>2149</v>
      </c>
      <c r="M2" s="59" t="s">
        <v>61</v>
      </c>
      <c r="N2" s="60"/>
      <c r="O2" s="59">
        <v>0</v>
      </c>
      <c r="P2" s="59">
        <v>1</v>
      </c>
      <c r="Q2" s="59" t="s">
        <v>2150</v>
      </c>
      <c r="R2" s="61" t="s">
        <v>2038</v>
      </c>
      <c r="S2" s="59">
        <v>1</v>
      </c>
      <c r="T2" s="59">
        <v>2</v>
      </c>
      <c r="U2" s="59" t="s">
        <v>2151</v>
      </c>
      <c r="V2" s="62" t="s">
        <v>302</v>
      </c>
    </row>
    <row r="3" spans="1:22" ht="14.5" x14ac:dyDescent="0.3">
      <c r="A3" s="57">
        <v>6</v>
      </c>
      <c r="B3" s="57" t="s">
        <v>2143</v>
      </c>
      <c r="C3" s="57" t="s">
        <v>2144</v>
      </c>
      <c r="D3" s="57" t="s">
        <v>162</v>
      </c>
      <c r="E3" s="57" t="s">
        <v>2145</v>
      </c>
      <c r="F3" s="57" t="s">
        <v>2152</v>
      </c>
      <c r="G3" s="57" t="s">
        <v>2153</v>
      </c>
      <c r="H3" s="57" t="s">
        <v>2146</v>
      </c>
      <c r="I3" s="58" t="s">
        <v>55</v>
      </c>
      <c r="J3" s="58" t="s">
        <v>59</v>
      </c>
      <c r="K3" s="59" t="s">
        <v>151</v>
      </c>
      <c r="L3" s="59" t="s">
        <v>2149</v>
      </c>
      <c r="M3" s="59" t="s">
        <v>61</v>
      </c>
      <c r="N3" s="60"/>
      <c r="O3" s="59">
        <v>0</v>
      </c>
      <c r="P3" s="59">
        <v>1</v>
      </c>
      <c r="Q3" s="59" t="s">
        <v>2150</v>
      </c>
      <c r="R3" s="61" t="s">
        <v>2038</v>
      </c>
      <c r="S3" s="59">
        <v>1</v>
      </c>
      <c r="T3" s="59">
        <v>2</v>
      </c>
      <c r="U3" s="59" t="s">
        <v>2151</v>
      </c>
      <c r="V3" s="62" t="s">
        <v>302</v>
      </c>
    </row>
    <row r="4" spans="1:22" ht="14.5" x14ac:dyDescent="0.3">
      <c r="A4" s="57">
        <v>9</v>
      </c>
      <c r="B4" s="57" t="s">
        <v>2143</v>
      </c>
      <c r="C4" s="57" t="s">
        <v>2144</v>
      </c>
      <c r="D4" s="57" t="s">
        <v>162</v>
      </c>
      <c r="E4" s="57" t="s">
        <v>2145</v>
      </c>
      <c r="F4" s="57" t="s">
        <v>2154</v>
      </c>
      <c r="G4" s="57" t="s">
        <v>2155</v>
      </c>
      <c r="H4" s="57" t="s">
        <v>2146</v>
      </c>
      <c r="I4" s="58" t="s">
        <v>55</v>
      </c>
      <c r="J4" s="58" t="s">
        <v>59</v>
      </c>
      <c r="K4" s="59" t="s">
        <v>151</v>
      </c>
      <c r="L4" s="59" t="s">
        <v>2149</v>
      </c>
      <c r="M4" s="59" t="s">
        <v>61</v>
      </c>
      <c r="N4" s="60"/>
      <c r="O4" s="59">
        <v>0</v>
      </c>
      <c r="P4" s="59">
        <v>1</v>
      </c>
      <c r="Q4" s="59" t="s">
        <v>2150</v>
      </c>
      <c r="R4" s="61" t="s">
        <v>2038</v>
      </c>
      <c r="S4" s="59">
        <v>1</v>
      </c>
      <c r="T4" s="59">
        <v>2</v>
      </c>
      <c r="U4" s="59" t="s">
        <v>2151</v>
      </c>
      <c r="V4" s="62" t="s">
        <v>302</v>
      </c>
    </row>
    <row r="5" spans="1:22" ht="14.5" x14ac:dyDescent="0.3">
      <c r="A5" s="57">
        <v>12</v>
      </c>
      <c r="B5" s="57" t="s">
        <v>2143</v>
      </c>
      <c r="C5" s="57" t="s">
        <v>2144</v>
      </c>
      <c r="D5" s="57" t="s">
        <v>162</v>
      </c>
      <c r="E5" s="57" t="s">
        <v>2145</v>
      </c>
      <c r="F5" s="57" t="s">
        <v>2154</v>
      </c>
      <c r="G5" s="57" t="s">
        <v>2156</v>
      </c>
      <c r="H5" s="57" t="s">
        <v>2146</v>
      </c>
      <c r="I5" s="58" t="s">
        <v>55</v>
      </c>
      <c r="J5" s="58" t="s">
        <v>59</v>
      </c>
      <c r="K5" s="59" t="s">
        <v>151</v>
      </c>
      <c r="L5" s="59" t="s">
        <v>2149</v>
      </c>
      <c r="M5" s="59" t="s">
        <v>61</v>
      </c>
      <c r="N5" s="60"/>
      <c r="O5" s="59">
        <v>0</v>
      </c>
      <c r="P5" s="59">
        <v>1</v>
      </c>
      <c r="Q5" s="59" t="s">
        <v>2150</v>
      </c>
      <c r="R5" s="61" t="s">
        <v>2038</v>
      </c>
      <c r="S5" s="59">
        <v>1</v>
      </c>
      <c r="T5" s="59">
        <v>2</v>
      </c>
      <c r="U5" s="59" t="s">
        <v>2151</v>
      </c>
      <c r="V5" s="62" t="s">
        <v>302</v>
      </c>
    </row>
    <row r="6" spans="1:22" ht="14.5" x14ac:dyDescent="0.3">
      <c r="A6" s="57">
        <v>18</v>
      </c>
      <c r="B6" s="57" t="s">
        <v>2143</v>
      </c>
      <c r="C6" s="57" t="s">
        <v>2144</v>
      </c>
      <c r="D6" s="57" t="s">
        <v>162</v>
      </c>
      <c r="E6" s="57" t="s">
        <v>2145</v>
      </c>
      <c r="F6" s="57" t="s">
        <v>2157</v>
      </c>
      <c r="G6" s="57" t="s">
        <v>2158</v>
      </c>
      <c r="H6" s="57" t="s">
        <v>2146</v>
      </c>
      <c r="I6" s="58" t="s">
        <v>55</v>
      </c>
      <c r="J6" s="58" t="s">
        <v>59</v>
      </c>
      <c r="K6" s="59" t="s">
        <v>151</v>
      </c>
      <c r="L6" s="59" t="s">
        <v>2149</v>
      </c>
      <c r="M6" s="59" t="s">
        <v>61</v>
      </c>
      <c r="N6" s="60"/>
      <c r="O6" s="59">
        <v>0</v>
      </c>
      <c r="P6" s="59">
        <v>1</v>
      </c>
      <c r="Q6" s="59" t="s">
        <v>2150</v>
      </c>
      <c r="R6" s="61" t="s">
        <v>2038</v>
      </c>
      <c r="S6" s="59">
        <v>1</v>
      </c>
      <c r="T6" s="59">
        <v>2</v>
      </c>
      <c r="U6" s="59" t="s">
        <v>2151</v>
      </c>
      <c r="V6" s="62" t="s">
        <v>302</v>
      </c>
    </row>
    <row r="7" spans="1:22" ht="14.5" x14ac:dyDescent="0.3">
      <c r="A7" s="57">
        <v>21</v>
      </c>
      <c r="B7" s="57" t="s">
        <v>2143</v>
      </c>
      <c r="C7" s="57" t="s">
        <v>2144</v>
      </c>
      <c r="D7" s="57" t="s">
        <v>162</v>
      </c>
      <c r="E7" s="57" t="s">
        <v>2145</v>
      </c>
      <c r="F7" s="57" t="s">
        <v>2159</v>
      </c>
      <c r="G7" s="57" t="s">
        <v>2160</v>
      </c>
      <c r="H7" s="57" t="s">
        <v>2146</v>
      </c>
      <c r="I7" s="58" t="s">
        <v>55</v>
      </c>
      <c r="J7" s="58" t="s">
        <v>59</v>
      </c>
      <c r="K7" s="59" t="s">
        <v>151</v>
      </c>
      <c r="L7" s="59" t="s">
        <v>2149</v>
      </c>
      <c r="M7" s="59" t="s">
        <v>61</v>
      </c>
      <c r="N7" s="60"/>
      <c r="O7" s="59">
        <v>0</v>
      </c>
      <c r="P7" s="59">
        <v>1</v>
      </c>
      <c r="Q7" s="59" t="s">
        <v>2150</v>
      </c>
      <c r="R7" s="61" t="s">
        <v>2038</v>
      </c>
      <c r="S7" s="59">
        <v>1</v>
      </c>
      <c r="T7" s="59">
        <v>2</v>
      </c>
      <c r="U7" s="59" t="s">
        <v>2151</v>
      </c>
      <c r="V7" s="62" t="s">
        <v>302</v>
      </c>
    </row>
    <row r="8" spans="1:22" ht="14.5" x14ac:dyDescent="0.3">
      <c r="A8" s="57">
        <v>24</v>
      </c>
      <c r="B8" s="57" t="s">
        <v>2143</v>
      </c>
      <c r="C8" s="57" t="s">
        <v>2144</v>
      </c>
      <c r="D8" s="57" t="s">
        <v>162</v>
      </c>
      <c r="E8" s="57" t="s">
        <v>2145</v>
      </c>
      <c r="F8" s="57" t="s">
        <v>2161</v>
      </c>
      <c r="G8" s="57" t="s">
        <v>2162</v>
      </c>
      <c r="H8" s="57" t="s">
        <v>2146</v>
      </c>
      <c r="I8" s="58" t="s">
        <v>55</v>
      </c>
      <c r="J8" s="58" t="s">
        <v>59</v>
      </c>
      <c r="K8" s="59" t="s">
        <v>151</v>
      </c>
      <c r="L8" s="59" t="s">
        <v>2149</v>
      </c>
      <c r="M8" s="59" t="s">
        <v>61</v>
      </c>
      <c r="N8" s="60"/>
      <c r="O8" s="59">
        <v>0</v>
      </c>
      <c r="P8" s="59">
        <v>1</v>
      </c>
      <c r="Q8" s="59" t="s">
        <v>2150</v>
      </c>
      <c r="R8" s="61" t="s">
        <v>2038</v>
      </c>
      <c r="S8" s="59">
        <v>1</v>
      </c>
      <c r="T8" s="59">
        <v>2</v>
      </c>
      <c r="U8" s="59" t="s">
        <v>2151</v>
      </c>
      <c r="V8" s="62" t="s">
        <v>302</v>
      </c>
    </row>
    <row r="9" spans="1:22" ht="14.5" x14ac:dyDescent="0.3">
      <c r="A9" s="57">
        <v>27</v>
      </c>
      <c r="B9" s="57" t="s">
        <v>2143</v>
      </c>
      <c r="C9" s="57" t="s">
        <v>2144</v>
      </c>
      <c r="D9" s="57" t="s">
        <v>162</v>
      </c>
      <c r="E9" s="57" t="s">
        <v>2145</v>
      </c>
      <c r="F9" s="57" t="s">
        <v>2163</v>
      </c>
      <c r="G9" s="57" t="s">
        <v>2164</v>
      </c>
      <c r="H9" s="57" t="s">
        <v>2146</v>
      </c>
      <c r="I9" s="58" t="s">
        <v>55</v>
      </c>
      <c r="J9" s="58" t="s">
        <v>59</v>
      </c>
      <c r="K9" s="59" t="s">
        <v>151</v>
      </c>
      <c r="L9" s="59" t="s">
        <v>2149</v>
      </c>
      <c r="M9" s="59" t="s">
        <v>61</v>
      </c>
      <c r="N9" s="60"/>
      <c r="O9" s="59">
        <v>0</v>
      </c>
      <c r="P9" s="59">
        <v>1</v>
      </c>
      <c r="Q9" s="59" t="s">
        <v>2150</v>
      </c>
      <c r="R9" s="61" t="s">
        <v>2038</v>
      </c>
      <c r="S9" s="59">
        <v>1</v>
      </c>
      <c r="T9" s="59">
        <v>2</v>
      </c>
      <c r="U9" s="59" t="s">
        <v>2151</v>
      </c>
      <c r="V9" s="62" t="s">
        <v>302</v>
      </c>
    </row>
    <row r="10" spans="1:22" ht="14.5" x14ac:dyDescent="0.3">
      <c r="A10" s="57">
        <v>30</v>
      </c>
      <c r="B10" s="57" t="s">
        <v>2143</v>
      </c>
      <c r="C10" s="57" t="s">
        <v>2144</v>
      </c>
      <c r="D10" s="57" t="s">
        <v>162</v>
      </c>
      <c r="E10" s="57" t="s">
        <v>2145</v>
      </c>
      <c r="F10" s="57" t="s">
        <v>2165</v>
      </c>
      <c r="G10" s="57" t="s">
        <v>2166</v>
      </c>
      <c r="H10" s="57" t="s">
        <v>2146</v>
      </c>
      <c r="I10" s="58" t="s">
        <v>55</v>
      </c>
      <c r="J10" s="58" t="s">
        <v>59</v>
      </c>
      <c r="K10" s="59" t="s">
        <v>151</v>
      </c>
      <c r="L10" s="59" t="s">
        <v>2149</v>
      </c>
      <c r="M10" s="59" t="s">
        <v>61</v>
      </c>
      <c r="N10" s="60"/>
      <c r="O10" s="59">
        <v>0</v>
      </c>
      <c r="P10" s="59">
        <v>1</v>
      </c>
      <c r="Q10" s="59" t="s">
        <v>2150</v>
      </c>
      <c r="R10" s="61" t="s">
        <v>2038</v>
      </c>
      <c r="S10" s="59">
        <v>1</v>
      </c>
      <c r="T10" s="59">
        <v>2</v>
      </c>
      <c r="U10" s="59" t="s">
        <v>2151</v>
      </c>
      <c r="V10" s="62" t="s">
        <v>302</v>
      </c>
    </row>
    <row r="11" spans="1:22" ht="14.5" x14ac:dyDescent="0.3">
      <c r="A11" s="57">
        <v>33</v>
      </c>
      <c r="B11" s="57" t="s">
        <v>2143</v>
      </c>
      <c r="C11" s="57" t="s">
        <v>2144</v>
      </c>
      <c r="D11" s="57" t="s">
        <v>162</v>
      </c>
      <c r="E11" s="57" t="s">
        <v>2145</v>
      </c>
      <c r="F11" s="57" t="s">
        <v>2167</v>
      </c>
      <c r="G11" s="57" t="s">
        <v>2168</v>
      </c>
      <c r="H11" s="57" t="s">
        <v>2146</v>
      </c>
      <c r="I11" s="58" t="s">
        <v>55</v>
      </c>
      <c r="J11" s="58" t="s">
        <v>59</v>
      </c>
      <c r="K11" s="59" t="s">
        <v>151</v>
      </c>
      <c r="L11" s="59" t="s">
        <v>2149</v>
      </c>
      <c r="M11" s="59" t="s">
        <v>61</v>
      </c>
      <c r="N11" s="60"/>
      <c r="O11" s="59">
        <v>0</v>
      </c>
      <c r="P11" s="59">
        <v>1</v>
      </c>
      <c r="Q11" s="59" t="s">
        <v>2150</v>
      </c>
      <c r="R11" s="61" t="s">
        <v>2038</v>
      </c>
      <c r="S11" s="59">
        <v>1</v>
      </c>
      <c r="T11" s="59">
        <v>2</v>
      </c>
      <c r="U11" s="59" t="s">
        <v>2151</v>
      </c>
      <c r="V11" s="62" t="s">
        <v>302</v>
      </c>
    </row>
    <row r="12" spans="1:22" ht="14.5" x14ac:dyDescent="0.3">
      <c r="A12" s="57">
        <v>36</v>
      </c>
      <c r="B12" s="57" t="s">
        <v>2143</v>
      </c>
      <c r="C12" s="57" t="s">
        <v>2144</v>
      </c>
      <c r="D12" s="57" t="s">
        <v>162</v>
      </c>
      <c r="E12" s="57" t="s">
        <v>2145</v>
      </c>
      <c r="F12" s="57" t="s">
        <v>2169</v>
      </c>
      <c r="G12" s="57" t="s">
        <v>2170</v>
      </c>
      <c r="H12" s="57" t="s">
        <v>2146</v>
      </c>
      <c r="I12" s="58" t="s">
        <v>55</v>
      </c>
      <c r="J12" s="58" t="s">
        <v>59</v>
      </c>
      <c r="K12" s="59" t="s">
        <v>151</v>
      </c>
      <c r="L12" s="59" t="s">
        <v>2149</v>
      </c>
      <c r="M12" s="59" t="s">
        <v>61</v>
      </c>
      <c r="N12" s="60"/>
      <c r="O12" s="59">
        <v>0</v>
      </c>
      <c r="P12" s="59">
        <v>1</v>
      </c>
      <c r="Q12" s="59" t="s">
        <v>2150</v>
      </c>
      <c r="R12" s="61" t="s">
        <v>2038</v>
      </c>
      <c r="S12" s="59">
        <v>1</v>
      </c>
      <c r="T12" s="59">
        <v>2</v>
      </c>
      <c r="U12" s="59" t="s">
        <v>2151</v>
      </c>
      <c r="V12" s="62" t="s">
        <v>302</v>
      </c>
    </row>
    <row r="13" spans="1:22" ht="14.5" x14ac:dyDescent="0.3">
      <c r="A13" s="57">
        <v>39</v>
      </c>
      <c r="B13" s="57" t="s">
        <v>2143</v>
      </c>
      <c r="C13" s="57" t="s">
        <v>2144</v>
      </c>
      <c r="D13" s="57" t="s">
        <v>162</v>
      </c>
      <c r="E13" s="57" t="s">
        <v>2145</v>
      </c>
      <c r="F13" s="57" t="s">
        <v>2171</v>
      </c>
      <c r="G13" s="57" t="s">
        <v>2172</v>
      </c>
      <c r="H13" s="57" t="s">
        <v>2146</v>
      </c>
      <c r="I13" s="58" t="s">
        <v>55</v>
      </c>
      <c r="J13" s="58" t="s">
        <v>59</v>
      </c>
      <c r="K13" s="59" t="s">
        <v>151</v>
      </c>
      <c r="L13" s="59" t="s">
        <v>2149</v>
      </c>
      <c r="M13" s="59" t="s">
        <v>61</v>
      </c>
      <c r="N13" s="60"/>
      <c r="O13" s="59">
        <v>0</v>
      </c>
      <c r="P13" s="59">
        <v>1</v>
      </c>
      <c r="Q13" s="59" t="s">
        <v>2150</v>
      </c>
      <c r="R13" s="61" t="s">
        <v>2038</v>
      </c>
      <c r="S13" s="59">
        <v>1</v>
      </c>
      <c r="T13" s="59">
        <v>2</v>
      </c>
      <c r="U13" s="59" t="s">
        <v>2151</v>
      </c>
      <c r="V13" s="62" t="s">
        <v>302</v>
      </c>
    </row>
    <row r="14" spans="1:22" ht="14.5" x14ac:dyDescent="0.3">
      <c r="A14" s="57">
        <v>42</v>
      </c>
      <c r="B14" s="57" t="s">
        <v>2143</v>
      </c>
      <c r="C14" s="57" t="s">
        <v>2144</v>
      </c>
      <c r="D14" s="57" t="s">
        <v>162</v>
      </c>
      <c r="E14" s="57" t="s">
        <v>2145</v>
      </c>
      <c r="F14" s="57" t="s">
        <v>2173</v>
      </c>
      <c r="G14" s="57" t="s">
        <v>2174</v>
      </c>
      <c r="H14" s="57" t="s">
        <v>2146</v>
      </c>
      <c r="I14" s="58" t="s">
        <v>55</v>
      </c>
      <c r="J14" s="58" t="s">
        <v>59</v>
      </c>
      <c r="K14" s="59" t="s">
        <v>151</v>
      </c>
      <c r="L14" s="59" t="s">
        <v>2149</v>
      </c>
      <c r="M14" s="59" t="s">
        <v>61</v>
      </c>
      <c r="N14" s="60"/>
      <c r="O14" s="59">
        <v>0</v>
      </c>
      <c r="P14" s="59">
        <v>1</v>
      </c>
      <c r="Q14" s="59" t="s">
        <v>2150</v>
      </c>
      <c r="R14" s="61" t="s">
        <v>2038</v>
      </c>
      <c r="S14" s="59">
        <v>1</v>
      </c>
      <c r="T14" s="59">
        <v>2</v>
      </c>
      <c r="U14" s="59" t="s">
        <v>2151</v>
      </c>
      <c r="V14" s="62" t="s">
        <v>302</v>
      </c>
    </row>
    <row r="15" spans="1:22" ht="14.5" x14ac:dyDescent="0.3">
      <c r="A15" s="57">
        <v>45</v>
      </c>
      <c r="B15" s="57" t="s">
        <v>2143</v>
      </c>
      <c r="C15" s="57" t="s">
        <v>2144</v>
      </c>
      <c r="D15" s="57" t="s">
        <v>162</v>
      </c>
      <c r="E15" s="57" t="s">
        <v>2145</v>
      </c>
      <c r="F15" s="57" t="s">
        <v>2175</v>
      </c>
      <c r="G15" s="57" t="s">
        <v>2176</v>
      </c>
      <c r="H15" s="57" t="s">
        <v>2146</v>
      </c>
      <c r="I15" s="58" t="s">
        <v>55</v>
      </c>
      <c r="J15" s="58" t="s">
        <v>59</v>
      </c>
      <c r="K15" s="59" t="s">
        <v>151</v>
      </c>
      <c r="L15" s="59" t="s">
        <v>2149</v>
      </c>
      <c r="M15" s="59" t="s">
        <v>61</v>
      </c>
      <c r="N15" s="60"/>
      <c r="O15" s="59">
        <v>0</v>
      </c>
      <c r="P15" s="59">
        <v>1</v>
      </c>
      <c r="Q15" s="59" t="s">
        <v>2150</v>
      </c>
      <c r="R15" s="61" t="s">
        <v>2038</v>
      </c>
      <c r="S15" s="59">
        <v>1</v>
      </c>
      <c r="T15" s="59">
        <v>2</v>
      </c>
      <c r="U15" s="59" t="s">
        <v>2151</v>
      </c>
      <c r="V15" s="62" t="s">
        <v>302</v>
      </c>
    </row>
    <row r="16" spans="1:22" ht="14.5" x14ac:dyDescent="0.3">
      <c r="A16" s="57">
        <v>48</v>
      </c>
      <c r="B16" s="57" t="s">
        <v>2143</v>
      </c>
      <c r="C16" s="57" t="s">
        <v>2144</v>
      </c>
      <c r="D16" s="57" t="s">
        <v>162</v>
      </c>
      <c r="E16" s="57" t="s">
        <v>2145</v>
      </c>
      <c r="F16" s="57" t="s">
        <v>2177</v>
      </c>
      <c r="G16" s="57" t="s">
        <v>2178</v>
      </c>
      <c r="H16" s="57" t="s">
        <v>2146</v>
      </c>
      <c r="I16" s="58" t="s">
        <v>55</v>
      </c>
      <c r="J16" s="58" t="s">
        <v>59</v>
      </c>
      <c r="K16" s="59" t="s">
        <v>151</v>
      </c>
      <c r="L16" s="59" t="s">
        <v>2149</v>
      </c>
      <c r="M16" s="59" t="s">
        <v>61</v>
      </c>
      <c r="N16" s="60"/>
      <c r="O16" s="59">
        <v>0</v>
      </c>
      <c r="P16" s="59">
        <v>1</v>
      </c>
      <c r="Q16" s="59" t="s">
        <v>2150</v>
      </c>
      <c r="R16" s="61" t="s">
        <v>2038</v>
      </c>
      <c r="S16" s="59">
        <v>1</v>
      </c>
      <c r="T16" s="59">
        <v>2</v>
      </c>
      <c r="U16" s="59" t="s">
        <v>2151</v>
      </c>
      <c r="V16" s="62" t="s">
        <v>302</v>
      </c>
    </row>
    <row r="17" spans="1:22" ht="14.5" x14ac:dyDescent="0.3">
      <c r="A17" s="57">
        <v>51</v>
      </c>
      <c r="B17" s="57" t="s">
        <v>2143</v>
      </c>
      <c r="C17" s="57" t="s">
        <v>2144</v>
      </c>
      <c r="D17" s="57" t="s">
        <v>162</v>
      </c>
      <c r="E17" s="57" t="s">
        <v>2145</v>
      </c>
      <c r="F17" s="57" t="s">
        <v>2179</v>
      </c>
      <c r="G17" s="57" t="s">
        <v>2180</v>
      </c>
      <c r="H17" s="57" t="s">
        <v>2146</v>
      </c>
      <c r="I17" s="58" t="s">
        <v>55</v>
      </c>
      <c r="J17" s="58" t="s">
        <v>59</v>
      </c>
      <c r="K17" s="59" t="s">
        <v>151</v>
      </c>
      <c r="L17" s="59" t="s">
        <v>2149</v>
      </c>
      <c r="M17" s="59" t="s">
        <v>61</v>
      </c>
      <c r="N17" s="60"/>
      <c r="O17" s="59">
        <v>0</v>
      </c>
      <c r="P17" s="59">
        <v>1</v>
      </c>
      <c r="Q17" s="59" t="s">
        <v>2150</v>
      </c>
      <c r="R17" s="61" t="s">
        <v>2038</v>
      </c>
      <c r="S17" s="59">
        <v>1</v>
      </c>
      <c r="T17" s="59">
        <v>2</v>
      </c>
      <c r="U17" s="59" t="s">
        <v>2151</v>
      </c>
      <c r="V17" s="62" t="s">
        <v>302</v>
      </c>
    </row>
    <row r="18" spans="1:22" ht="14.5" x14ac:dyDescent="0.3">
      <c r="A18" s="57">
        <v>1109</v>
      </c>
      <c r="B18" s="57" t="s">
        <v>2196</v>
      </c>
      <c r="C18" s="57" t="s">
        <v>2188</v>
      </c>
      <c r="D18" s="57" t="s">
        <v>2189</v>
      </c>
      <c r="E18" s="57" t="s">
        <v>2197</v>
      </c>
      <c r="F18" s="57" t="s">
        <v>2182</v>
      </c>
      <c r="G18" s="57" t="s">
        <v>2190</v>
      </c>
      <c r="H18" s="57" t="s">
        <v>2183</v>
      </c>
      <c r="I18" s="58" t="s">
        <v>55</v>
      </c>
      <c r="J18" s="58" t="s">
        <v>59</v>
      </c>
      <c r="K18" s="60" t="s">
        <v>2038</v>
      </c>
      <c r="L18" s="59" t="s">
        <v>702</v>
      </c>
      <c r="M18" s="59" t="s">
        <v>2198</v>
      </c>
      <c r="N18" s="59">
        <v>80</v>
      </c>
      <c r="O18" s="59">
        <v>90</v>
      </c>
      <c r="P18" s="59">
        <v>1</v>
      </c>
      <c r="Q18" s="61" t="s">
        <v>2150</v>
      </c>
      <c r="R18" s="61" t="s">
        <v>2199</v>
      </c>
      <c r="S18" s="59">
        <v>1</v>
      </c>
      <c r="T18" s="63"/>
      <c r="U18" s="63"/>
      <c r="V18" s="62"/>
    </row>
    <row r="19" spans="1:22" ht="14.5" x14ac:dyDescent="0.3">
      <c r="A19" s="57">
        <v>1115</v>
      </c>
      <c r="B19" s="57" t="s">
        <v>2196</v>
      </c>
      <c r="C19" s="57" t="s">
        <v>2188</v>
      </c>
      <c r="D19" s="57" t="s">
        <v>2189</v>
      </c>
      <c r="E19" s="57" t="s">
        <v>2197</v>
      </c>
      <c r="F19" s="57" t="s">
        <v>2184</v>
      </c>
      <c r="G19" s="57" t="s">
        <v>2191</v>
      </c>
      <c r="H19" s="57" t="s">
        <v>2183</v>
      </c>
      <c r="I19" s="58" t="s">
        <v>55</v>
      </c>
      <c r="J19" s="58" t="s">
        <v>59</v>
      </c>
      <c r="K19" s="60" t="s">
        <v>2038</v>
      </c>
      <c r="L19" s="59" t="s">
        <v>702</v>
      </c>
      <c r="M19" s="59" t="s">
        <v>2198</v>
      </c>
      <c r="N19" s="59">
        <v>80</v>
      </c>
      <c r="O19" s="59">
        <v>90</v>
      </c>
      <c r="P19" s="59">
        <v>1</v>
      </c>
      <c r="Q19" s="61" t="s">
        <v>2150</v>
      </c>
      <c r="R19" s="61" t="s">
        <v>2199</v>
      </c>
      <c r="S19" s="59">
        <v>1</v>
      </c>
      <c r="T19" s="63"/>
      <c r="U19" s="63"/>
      <c r="V19" s="62"/>
    </row>
    <row r="20" spans="1:22" ht="14.5" x14ac:dyDescent="0.3">
      <c r="A20" s="57">
        <v>1119</v>
      </c>
      <c r="B20" s="57" t="s">
        <v>2196</v>
      </c>
      <c r="C20" s="57" t="s">
        <v>2188</v>
      </c>
      <c r="D20" s="57" t="s">
        <v>2189</v>
      </c>
      <c r="E20" s="57" t="s">
        <v>2197</v>
      </c>
      <c r="F20" s="57" t="s">
        <v>2186</v>
      </c>
      <c r="G20" s="57" t="s">
        <v>2192</v>
      </c>
      <c r="H20" s="57" t="s">
        <v>2185</v>
      </c>
      <c r="I20" s="58" t="s">
        <v>55</v>
      </c>
      <c r="J20" s="58" t="s">
        <v>59</v>
      </c>
      <c r="K20" s="60" t="s">
        <v>2038</v>
      </c>
      <c r="L20" s="59" t="s">
        <v>702</v>
      </c>
      <c r="M20" s="59" t="s">
        <v>2198</v>
      </c>
      <c r="N20" s="59">
        <v>5</v>
      </c>
      <c r="O20" s="59">
        <v>10</v>
      </c>
      <c r="P20" s="59">
        <v>1</v>
      </c>
      <c r="Q20" s="61" t="s">
        <v>2150</v>
      </c>
      <c r="R20" s="61" t="s">
        <v>2199</v>
      </c>
      <c r="S20" s="59">
        <v>1</v>
      </c>
      <c r="T20" s="63"/>
      <c r="U20" s="63"/>
      <c r="V20" s="62"/>
    </row>
    <row r="21" spans="1:22" ht="14.5" x14ac:dyDescent="0.3">
      <c r="A21" s="57">
        <v>1122</v>
      </c>
      <c r="B21" s="57" t="s">
        <v>2196</v>
      </c>
      <c r="C21" s="57" t="s">
        <v>2188</v>
      </c>
      <c r="D21" s="57" t="s">
        <v>2189</v>
      </c>
      <c r="E21" s="57" t="s">
        <v>2197</v>
      </c>
      <c r="F21" s="57" t="s">
        <v>2187</v>
      </c>
      <c r="G21" s="57" t="s">
        <v>2193</v>
      </c>
      <c r="H21" s="57" t="s">
        <v>2185</v>
      </c>
      <c r="I21" s="58" t="s">
        <v>55</v>
      </c>
      <c r="J21" s="58" t="s">
        <v>59</v>
      </c>
      <c r="K21" s="60" t="s">
        <v>2038</v>
      </c>
      <c r="L21" s="59" t="s">
        <v>702</v>
      </c>
      <c r="M21" s="59" t="s">
        <v>2198</v>
      </c>
      <c r="N21" s="59">
        <v>5</v>
      </c>
      <c r="O21" s="59">
        <v>10</v>
      </c>
      <c r="P21" s="59">
        <v>1</v>
      </c>
      <c r="Q21" s="59" t="s">
        <v>2150</v>
      </c>
      <c r="R21" s="59" t="s">
        <v>2199</v>
      </c>
      <c r="S21" s="59">
        <v>1</v>
      </c>
      <c r="T21" s="63"/>
      <c r="U21" s="63"/>
      <c r="V21" s="62"/>
    </row>
    <row r="22" spans="1:22" ht="14.5" x14ac:dyDescent="0.3">
      <c r="A22" s="57">
        <v>1126</v>
      </c>
      <c r="B22" s="57" t="s">
        <v>2196</v>
      </c>
      <c r="C22" s="57" t="s">
        <v>2188</v>
      </c>
      <c r="D22" s="57" t="s">
        <v>2194</v>
      </c>
      <c r="E22" s="57" t="s">
        <v>2200</v>
      </c>
      <c r="F22" s="57" t="s">
        <v>2182</v>
      </c>
      <c r="G22" s="57" t="s">
        <v>2190</v>
      </c>
      <c r="H22" s="57" t="s">
        <v>2183</v>
      </c>
      <c r="I22" s="58" t="s">
        <v>55</v>
      </c>
      <c r="J22" s="58" t="s">
        <v>59</v>
      </c>
      <c r="K22" s="60" t="s">
        <v>2038</v>
      </c>
      <c r="L22" s="59" t="s">
        <v>702</v>
      </c>
      <c r="M22" s="59" t="s">
        <v>2198</v>
      </c>
      <c r="N22" s="59">
        <v>80</v>
      </c>
      <c r="O22" s="59">
        <v>90</v>
      </c>
      <c r="P22" s="59">
        <v>1</v>
      </c>
      <c r="Q22" s="61" t="s">
        <v>2150</v>
      </c>
      <c r="R22" s="61" t="s">
        <v>2199</v>
      </c>
      <c r="S22" s="59">
        <v>1</v>
      </c>
      <c r="T22" s="63"/>
      <c r="U22" s="63"/>
      <c r="V22" s="62"/>
    </row>
    <row r="23" spans="1:22" ht="14.5" x14ac:dyDescent="0.3">
      <c r="A23" s="57">
        <v>1132</v>
      </c>
      <c r="B23" s="57" t="s">
        <v>2196</v>
      </c>
      <c r="C23" s="57" t="s">
        <v>2188</v>
      </c>
      <c r="D23" s="57" t="s">
        <v>2194</v>
      </c>
      <c r="E23" s="57" t="s">
        <v>2200</v>
      </c>
      <c r="F23" s="57" t="s">
        <v>2184</v>
      </c>
      <c r="G23" s="57" t="s">
        <v>2191</v>
      </c>
      <c r="H23" s="57" t="s">
        <v>2183</v>
      </c>
      <c r="I23" s="58" t="s">
        <v>55</v>
      </c>
      <c r="J23" s="58" t="s">
        <v>59</v>
      </c>
      <c r="K23" s="60" t="s">
        <v>2038</v>
      </c>
      <c r="L23" s="59" t="s">
        <v>702</v>
      </c>
      <c r="M23" s="59" t="s">
        <v>2198</v>
      </c>
      <c r="N23" s="59">
        <v>80</v>
      </c>
      <c r="O23" s="59">
        <v>90</v>
      </c>
      <c r="P23" s="59">
        <v>1</v>
      </c>
      <c r="Q23" s="61" t="s">
        <v>2150</v>
      </c>
      <c r="R23" s="61" t="s">
        <v>2199</v>
      </c>
      <c r="S23" s="59">
        <v>1</v>
      </c>
      <c r="T23" s="63"/>
      <c r="U23" s="63"/>
      <c r="V23" s="62"/>
    </row>
    <row r="24" spans="1:22" ht="14.5" x14ac:dyDescent="0.3">
      <c r="A24" s="57">
        <v>1136</v>
      </c>
      <c r="B24" s="57" t="s">
        <v>2196</v>
      </c>
      <c r="C24" s="57" t="s">
        <v>2188</v>
      </c>
      <c r="D24" s="57" t="s">
        <v>2194</v>
      </c>
      <c r="E24" s="57" t="s">
        <v>2200</v>
      </c>
      <c r="F24" s="57" t="s">
        <v>2186</v>
      </c>
      <c r="G24" s="57" t="s">
        <v>2192</v>
      </c>
      <c r="H24" s="57" t="s">
        <v>2185</v>
      </c>
      <c r="I24" s="58" t="s">
        <v>55</v>
      </c>
      <c r="J24" s="58" t="s">
        <v>59</v>
      </c>
      <c r="K24" s="60" t="s">
        <v>2038</v>
      </c>
      <c r="L24" s="59" t="s">
        <v>702</v>
      </c>
      <c r="M24" s="59" t="s">
        <v>2198</v>
      </c>
      <c r="N24" s="59">
        <v>5</v>
      </c>
      <c r="O24" s="59">
        <v>10</v>
      </c>
      <c r="P24" s="59">
        <v>1</v>
      </c>
      <c r="Q24" s="61" t="s">
        <v>2150</v>
      </c>
      <c r="R24" s="61" t="s">
        <v>2199</v>
      </c>
      <c r="S24" s="59">
        <v>1</v>
      </c>
      <c r="T24" s="63"/>
      <c r="U24" s="63"/>
      <c r="V24" s="62"/>
    </row>
    <row r="25" spans="1:22" ht="14.5" x14ac:dyDescent="0.3">
      <c r="A25" s="57">
        <v>1139</v>
      </c>
      <c r="B25" s="57" t="s">
        <v>2196</v>
      </c>
      <c r="C25" s="57" t="s">
        <v>2188</v>
      </c>
      <c r="D25" s="57" t="s">
        <v>2194</v>
      </c>
      <c r="E25" s="57" t="s">
        <v>2200</v>
      </c>
      <c r="F25" s="57" t="s">
        <v>2187</v>
      </c>
      <c r="G25" s="57" t="s">
        <v>2193</v>
      </c>
      <c r="H25" s="57" t="s">
        <v>2185</v>
      </c>
      <c r="I25" s="58" t="s">
        <v>55</v>
      </c>
      <c r="J25" s="58" t="s">
        <v>59</v>
      </c>
      <c r="K25" s="60" t="s">
        <v>2038</v>
      </c>
      <c r="L25" s="59" t="s">
        <v>702</v>
      </c>
      <c r="M25" s="59" t="s">
        <v>2198</v>
      </c>
      <c r="N25" s="59">
        <v>5</v>
      </c>
      <c r="O25" s="59">
        <v>10</v>
      </c>
      <c r="P25" s="59">
        <v>1</v>
      </c>
      <c r="Q25" s="59" t="s">
        <v>2150</v>
      </c>
      <c r="R25" s="59" t="s">
        <v>2199</v>
      </c>
      <c r="S25" s="59">
        <v>1</v>
      </c>
      <c r="T25" s="63"/>
      <c r="U25" s="63"/>
      <c r="V25" s="62"/>
    </row>
    <row r="26" spans="1:22" ht="14.5" x14ac:dyDescent="0.3">
      <c r="A26" s="57">
        <v>1143</v>
      </c>
      <c r="B26" s="57" t="s">
        <v>2196</v>
      </c>
      <c r="C26" s="57" t="s">
        <v>2188</v>
      </c>
      <c r="D26" s="57" t="s">
        <v>2195</v>
      </c>
      <c r="E26" s="57" t="s">
        <v>2201</v>
      </c>
      <c r="F26" s="57" t="s">
        <v>2182</v>
      </c>
      <c r="G26" s="57" t="s">
        <v>2190</v>
      </c>
      <c r="H26" s="57" t="s">
        <v>2183</v>
      </c>
      <c r="I26" s="58" t="s">
        <v>55</v>
      </c>
      <c r="J26" s="58" t="s">
        <v>59</v>
      </c>
      <c r="K26" s="60" t="s">
        <v>2038</v>
      </c>
      <c r="L26" s="59" t="s">
        <v>702</v>
      </c>
      <c r="M26" s="59" t="s">
        <v>2198</v>
      </c>
      <c r="N26" s="59">
        <v>80</v>
      </c>
      <c r="O26" s="59">
        <v>90</v>
      </c>
      <c r="P26" s="59">
        <v>1</v>
      </c>
      <c r="Q26" s="61" t="s">
        <v>2150</v>
      </c>
      <c r="R26" s="61" t="s">
        <v>2199</v>
      </c>
      <c r="S26" s="59">
        <v>1</v>
      </c>
      <c r="T26" s="63"/>
      <c r="U26" s="63"/>
      <c r="V26" s="62"/>
    </row>
    <row r="27" spans="1:22" ht="14.5" x14ac:dyDescent="0.3">
      <c r="A27" s="57">
        <v>1149</v>
      </c>
      <c r="B27" s="57" t="s">
        <v>2196</v>
      </c>
      <c r="C27" s="57" t="s">
        <v>2188</v>
      </c>
      <c r="D27" s="57" t="s">
        <v>2195</v>
      </c>
      <c r="E27" s="57" t="s">
        <v>2201</v>
      </c>
      <c r="F27" s="57" t="s">
        <v>2184</v>
      </c>
      <c r="G27" s="57" t="s">
        <v>2191</v>
      </c>
      <c r="H27" s="57" t="s">
        <v>2183</v>
      </c>
      <c r="I27" s="58" t="s">
        <v>55</v>
      </c>
      <c r="J27" s="58" t="s">
        <v>59</v>
      </c>
      <c r="K27" s="60" t="s">
        <v>2038</v>
      </c>
      <c r="L27" s="59" t="s">
        <v>702</v>
      </c>
      <c r="M27" s="59" t="s">
        <v>2198</v>
      </c>
      <c r="N27" s="59">
        <v>80</v>
      </c>
      <c r="O27" s="59">
        <v>90</v>
      </c>
      <c r="P27" s="59">
        <v>1</v>
      </c>
      <c r="Q27" s="61" t="s">
        <v>2150</v>
      </c>
      <c r="R27" s="61" t="s">
        <v>2199</v>
      </c>
      <c r="S27" s="59">
        <v>1</v>
      </c>
      <c r="T27" s="63"/>
      <c r="U27" s="63"/>
      <c r="V27" s="62"/>
    </row>
    <row r="28" spans="1:22" ht="14.5" x14ac:dyDescent="0.3">
      <c r="A28" s="57">
        <v>1153</v>
      </c>
      <c r="B28" s="57" t="s">
        <v>2196</v>
      </c>
      <c r="C28" s="57" t="s">
        <v>2188</v>
      </c>
      <c r="D28" s="57" t="s">
        <v>2195</v>
      </c>
      <c r="E28" s="57" t="s">
        <v>2201</v>
      </c>
      <c r="F28" s="57" t="s">
        <v>2186</v>
      </c>
      <c r="G28" s="57" t="s">
        <v>2192</v>
      </c>
      <c r="H28" s="57" t="s">
        <v>2185</v>
      </c>
      <c r="I28" s="58" t="s">
        <v>55</v>
      </c>
      <c r="J28" s="58" t="s">
        <v>59</v>
      </c>
      <c r="K28" s="60" t="s">
        <v>2038</v>
      </c>
      <c r="L28" s="59" t="s">
        <v>702</v>
      </c>
      <c r="M28" s="59" t="s">
        <v>2198</v>
      </c>
      <c r="N28" s="59">
        <v>5</v>
      </c>
      <c r="O28" s="59">
        <v>10</v>
      </c>
      <c r="P28" s="59">
        <v>1</v>
      </c>
      <c r="Q28" s="61" t="s">
        <v>2150</v>
      </c>
      <c r="R28" s="61" t="s">
        <v>2199</v>
      </c>
      <c r="S28" s="59">
        <v>1</v>
      </c>
      <c r="T28" s="63"/>
      <c r="U28" s="63"/>
      <c r="V28" s="62"/>
    </row>
    <row r="29" spans="1:22" ht="14.5" x14ac:dyDescent="0.3">
      <c r="A29" s="57">
        <v>1156</v>
      </c>
      <c r="B29" s="57" t="s">
        <v>2196</v>
      </c>
      <c r="C29" s="57" t="s">
        <v>2188</v>
      </c>
      <c r="D29" s="57" t="s">
        <v>2195</v>
      </c>
      <c r="E29" s="57" t="s">
        <v>2201</v>
      </c>
      <c r="F29" s="57" t="s">
        <v>2187</v>
      </c>
      <c r="G29" s="57" t="s">
        <v>2193</v>
      </c>
      <c r="H29" s="57" t="s">
        <v>2185</v>
      </c>
      <c r="I29" s="58" t="s">
        <v>55</v>
      </c>
      <c r="J29" s="58" t="s">
        <v>59</v>
      </c>
      <c r="K29" s="60" t="s">
        <v>2038</v>
      </c>
      <c r="L29" s="59" t="s">
        <v>702</v>
      </c>
      <c r="M29" s="59" t="s">
        <v>2198</v>
      </c>
      <c r="N29" s="59">
        <v>5</v>
      </c>
      <c r="O29" s="59">
        <v>10</v>
      </c>
      <c r="P29" s="59">
        <v>1</v>
      </c>
      <c r="Q29" s="59" t="s">
        <v>2150</v>
      </c>
      <c r="R29" s="59" t="s">
        <v>2199</v>
      </c>
      <c r="S29" s="59">
        <v>1</v>
      </c>
      <c r="T29" s="63"/>
      <c r="U29" s="63"/>
      <c r="V29" s="62"/>
    </row>
    <row r="30" spans="1:22" x14ac:dyDescent="0.25">
      <c r="A30" s="57">
        <v>1301</v>
      </c>
      <c r="B30" s="57" t="s">
        <v>1448</v>
      </c>
      <c r="C30" s="57" t="s">
        <v>2019</v>
      </c>
      <c r="D30" s="57" t="s">
        <v>2181</v>
      </c>
      <c r="E30" s="57" t="s">
        <v>2202</v>
      </c>
      <c r="F30" s="57" t="s">
        <v>72</v>
      </c>
      <c r="G30" s="57" t="s">
        <v>2203</v>
      </c>
      <c r="H30" s="57" t="s">
        <v>58</v>
      </c>
      <c r="I30" s="58" t="s">
        <v>55</v>
      </c>
      <c r="J30" s="58" t="s">
        <v>59</v>
      </c>
      <c r="K30" s="58" t="s">
        <v>2038</v>
      </c>
      <c r="L30" s="58" t="s">
        <v>702</v>
      </c>
      <c r="M30" s="58" t="s">
        <v>61</v>
      </c>
      <c r="N30" s="58">
        <v>90</v>
      </c>
      <c r="O30" s="58"/>
      <c r="P30" s="58">
        <v>2</v>
      </c>
      <c r="Q30" s="58" t="s">
        <v>2150</v>
      </c>
      <c r="R30" s="58" t="s">
        <v>2199</v>
      </c>
      <c r="S30" s="58">
        <v>1</v>
      </c>
      <c r="T30" s="63"/>
      <c r="U30" s="63"/>
      <c r="V30" s="62"/>
    </row>
    <row r="31" spans="1:22" ht="14.5" x14ac:dyDescent="0.3">
      <c r="A31" s="57">
        <v>1305</v>
      </c>
      <c r="B31" s="57" t="s">
        <v>1448</v>
      </c>
      <c r="C31" s="57" t="s">
        <v>2019</v>
      </c>
      <c r="D31" s="57" t="s">
        <v>2181</v>
      </c>
      <c r="E31" s="57" t="s">
        <v>2202</v>
      </c>
      <c r="F31" s="57" t="s">
        <v>2056</v>
      </c>
      <c r="G31" s="57" t="s">
        <v>2204</v>
      </c>
      <c r="H31" s="57" t="s">
        <v>58</v>
      </c>
      <c r="I31" s="58" t="s">
        <v>55</v>
      </c>
      <c r="J31" s="58" t="s">
        <v>59</v>
      </c>
      <c r="K31" s="59" t="s">
        <v>2038</v>
      </c>
      <c r="L31" s="59" t="s">
        <v>702</v>
      </c>
      <c r="M31" s="59" t="s">
        <v>61</v>
      </c>
      <c r="N31" s="59">
        <v>90</v>
      </c>
      <c r="O31" s="59"/>
      <c r="P31" s="59">
        <v>2</v>
      </c>
      <c r="Q31" s="61" t="s">
        <v>2150</v>
      </c>
      <c r="R31" s="61" t="s">
        <v>2199</v>
      </c>
      <c r="S31" s="59">
        <v>1</v>
      </c>
      <c r="T31" s="63"/>
      <c r="U31" s="63"/>
      <c r="V31" s="63"/>
    </row>
    <row r="32" spans="1:22" ht="14.5" x14ac:dyDescent="0.3">
      <c r="A32" s="57">
        <v>1488</v>
      </c>
      <c r="B32" s="57" t="s">
        <v>1448</v>
      </c>
      <c r="C32" s="57" t="s">
        <v>2019</v>
      </c>
      <c r="D32" s="57" t="s">
        <v>2181</v>
      </c>
      <c r="E32" s="64"/>
      <c r="F32" s="57" t="s">
        <v>2205</v>
      </c>
      <c r="G32" s="57" t="s">
        <v>2206</v>
      </c>
      <c r="H32" s="57" t="s">
        <v>58</v>
      </c>
      <c r="I32" s="58" t="s">
        <v>55</v>
      </c>
      <c r="J32" s="58" t="s">
        <v>59</v>
      </c>
      <c r="K32" s="59" t="s">
        <v>2038</v>
      </c>
      <c r="L32" s="59" t="s">
        <v>702</v>
      </c>
      <c r="M32" s="59" t="s">
        <v>61</v>
      </c>
      <c r="N32" s="59"/>
      <c r="O32" s="59">
        <v>90</v>
      </c>
      <c r="P32" s="59">
        <v>2</v>
      </c>
      <c r="Q32" s="61" t="s">
        <v>2150</v>
      </c>
      <c r="R32" s="61" t="s">
        <v>2199</v>
      </c>
      <c r="S32" s="59">
        <v>1</v>
      </c>
      <c r="T32" s="63"/>
      <c r="U32" s="63"/>
      <c r="V32" s="63"/>
    </row>
    <row r="33" spans="1:22" ht="14.5" x14ac:dyDescent="0.3">
      <c r="A33" s="57">
        <v>1491</v>
      </c>
      <c r="B33" s="57" t="s">
        <v>1448</v>
      </c>
      <c r="C33" s="57" t="s">
        <v>2019</v>
      </c>
      <c r="D33" s="57" t="s">
        <v>2181</v>
      </c>
      <c r="E33" s="64"/>
      <c r="F33" s="57" t="s">
        <v>2207</v>
      </c>
      <c r="G33" s="57" t="s">
        <v>2208</v>
      </c>
      <c r="H33" s="57" t="s">
        <v>58</v>
      </c>
      <c r="I33" s="58" t="s">
        <v>55</v>
      </c>
      <c r="J33" s="58" t="s">
        <v>59</v>
      </c>
      <c r="K33" s="59" t="s">
        <v>2038</v>
      </c>
      <c r="L33" s="59" t="s">
        <v>702</v>
      </c>
      <c r="M33" s="59" t="s">
        <v>61</v>
      </c>
      <c r="N33" s="59"/>
      <c r="O33" s="59">
        <v>90</v>
      </c>
      <c r="P33" s="59">
        <v>2</v>
      </c>
      <c r="Q33" s="61" t="s">
        <v>2150</v>
      </c>
      <c r="R33" s="61" t="s">
        <v>2199</v>
      </c>
      <c r="S33" s="59">
        <v>1</v>
      </c>
      <c r="T33" s="63"/>
      <c r="U33" s="63"/>
      <c r="V33" s="63"/>
    </row>
    <row r="34" spans="1:22" ht="14.5" x14ac:dyDescent="0.3">
      <c r="A34" s="57">
        <v>1495</v>
      </c>
      <c r="B34" s="57" t="s">
        <v>1448</v>
      </c>
      <c r="C34" s="57" t="s">
        <v>2019</v>
      </c>
      <c r="D34" s="57" t="s">
        <v>2181</v>
      </c>
      <c r="E34" s="64"/>
      <c r="F34" s="57" t="s">
        <v>72</v>
      </c>
      <c r="G34" s="57" t="s">
        <v>2209</v>
      </c>
      <c r="H34" s="57" t="s">
        <v>58</v>
      </c>
      <c r="I34" s="58" t="s">
        <v>55</v>
      </c>
      <c r="J34" s="58" t="s">
        <v>59</v>
      </c>
      <c r="K34" s="59" t="s">
        <v>2038</v>
      </c>
      <c r="L34" s="59" t="s">
        <v>702</v>
      </c>
      <c r="M34" s="59" t="s">
        <v>61</v>
      </c>
      <c r="N34" s="59">
        <v>90</v>
      </c>
      <c r="O34" s="59"/>
      <c r="P34" s="59">
        <v>2</v>
      </c>
      <c r="Q34" s="61" t="s">
        <v>2150</v>
      </c>
      <c r="R34" s="61" t="s">
        <v>2199</v>
      </c>
      <c r="S34" s="59">
        <v>1</v>
      </c>
      <c r="T34" s="63"/>
      <c r="U34" s="63"/>
      <c r="V34" s="63"/>
    </row>
    <row r="35" spans="1:22" ht="14.5" x14ac:dyDescent="0.3">
      <c r="A35" s="57">
        <v>1513</v>
      </c>
      <c r="B35" s="57" t="s">
        <v>1448</v>
      </c>
      <c r="C35" s="57" t="s">
        <v>2019</v>
      </c>
      <c r="D35" s="57" t="s">
        <v>2181</v>
      </c>
      <c r="E35" s="64"/>
      <c r="F35" s="57" t="s">
        <v>2056</v>
      </c>
      <c r="G35" s="57" t="s">
        <v>2210</v>
      </c>
      <c r="H35" s="57" t="s">
        <v>58</v>
      </c>
      <c r="I35" s="58" t="s">
        <v>55</v>
      </c>
      <c r="J35" s="58" t="s">
        <v>59</v>
      </c>
      <c r="K35" s="59" t="s">
        <v>2038</v>
      </c>
      <c r="L35" s="59" t="s">
        <v>702</v>
      </c>
      <c r="M35" s="59" t="s">
        <v>61</v>
      </c>
      <c r="N35" s="59">
        <v>90</v>
      </c>
      <c r="O35" s="59"/>
      <c r="P35" s="59">
        <v>2</v>
      </c>
      <c r="Q35" s="61" t="s">
        <v>2150</v>
      </c>
      <c r="R35" s="61" t="s">
        <v>2199</v>
      </c>
      <c r="S35" s="59">
        <v>1</v>
      </c>
      <c r="T35" s="63"/>
      <c r="U35" s="63"/>
      <c r="V35" s="63"/>
    </row>
    <row r="36" spans="1:22" ht="14.5" x14ac:dyDescent="0.3">
      <c r="A36" s="57">
        <v>1580</v>
      </c>
      <c r="B36" s="57" t="s">
        <v>1448</v>
      </c>
      <c r="C36" s="57" t="s">
        <v>2019</v>
      </c>
      <c r="D36" s="57" t="s">
        <v>2181</v>
      </c>
      <c r="E36" s="64"/>
      <c r="F36" s="57" t="s">
        <v>2212</v>
      </c>
      <c r="G36" s="57" t="s">
        <v>2213</v>
      </c>
      <c r="H36" s="57" t="s">
        <v>58</v>
      </c>
      <c r="I36" s="62"/>
      <c r="J36" s="58" t="s">
        <v>59</v>
      </c>
      <c r="K36" s="59" t="s">
        <v>2214</v>
      </c>
      <c r="L36" s="59" t="s">
        <v>702</v>
      </c>
      <c r="M36" s="59" t="s">
        <v>61</v>
      </c>
      <c r="N36" s="59">
        <v>0.05</v>
      </c>
      <c r="O36" s="63"/>
      <c r="P36" s="59">
        <v>2</v>
      </c>
      <c r="Q36" s="61" t="s">
        <v>2150</v>
      </c>
      <c r="R36" s="61" t="s">
        <v>2199</v>
      </c>
      <c r="S36" s="59">
        <v>1</v>
      </c>
      <c r="T36" s="63"/>
      <c r="U36" s="62"/>
      <c r="V36" s="62"/>
    </row>
    <row r="37" spans="1:22" ht="14.5" x14ac:dyDescent="0.3">
      <c r="A37" s="57">
        <v>1581</v>
      </c>
      <c r="B37" s="57" t="s">
        <v>1448</v>
      </c>
      <c r="C37" s="57" t="s">
        <v>2019</v>
      </c>
      <c r="D37" s="57" t="s">
        <v>2181</v>
      </c>
      <c r="E37" s="64"/>
      <c r="F37" s="57" t="s">
        <v>2215</v>
      </c>
      <c r="G37" s="57" t="s">
        <v>2211</v>
      </c>
      <c r="H37" s="58"/>
      <c r="I37" s="62"/>
      <c r="J37" s="58" t="s">
        <v>59</v>
      </c>
      <c r="K37" s="59" t="s">
        <v>2214</v>
      </c>
      <c r="L37" s="59" t="s">
        <v>702</v>
      </c>
      <c r="M37" s="59" t="s">
        <v>61</v>
      </c>
      <c r="N37" s="65">
        <v>70</v>
      </c>
      <c r="O37" s="66"/>
      <c r="P37" s="62"/>
      <c r="Q37" s="61" t="s">
        <v>2150</v>
      </c>
      <c r="R37" s="61" t="s">
        <v>2199</v>
      </c>
      <c r="S37" s="59">
        <v>1</v>
      </c>
      <c r="T37" s="62"/>
      <c r="U37" s="62"/>
      <c r="V37" s="62"/>
    </row>
  </sheetData>
  <autoFilter ref="A1:V37" xr:uid="{65414D77-1ED8-4F46-AD3D-F64AC6889232}"/>
  <phoneticPr fontId="1" type="noConversion"/>
  <dataValidations count="9">
    <dataValidation errorStyle="information" allowBlank="1" showErrorMessage="1" sqref="K1:M1 Q1:U1 N1:P37" xr:uid="{8625A3D1-7919-4873-8900-FBABA1933052}"/>
    <dataValidation type="list" allowBlank="1" showErrorMessage="1" errorTitle="错误提示" error="请输入下拉列表中的一个值" sqref="L2:L37" xr:uid="{9BDCC6BB-BE4E-4C92-97CF-8A2A6ED9497B}">
      <formula1>"平均值,最小值,最大值,总计,样本个数"</formula1>
    </dataValidation>
    <dataValidation type="list" allowBlank="1" showErrorMessage="1" errorTitle="错误提示" error="请输入下拉列表中的一个值" sqref="J1:J37" xr:uid="{ECEB2B5E-9C4D-4CCB-9AA5-0FB485E0212B}">
      <formula1>"底线指标"</formula1>
    </dataValidation>
    <dataValidation type="list" allowBlank="1" showErrorMessage="1" errorTitle="错误提示" error="请输入下拉列表中的一个值" sqref="K2:K37" xr:uid="{5787D4F0-AC72-4C4D-B1D8-32A77295E525}">
      <formula1>"1小时,15秒,30秒,1分钟,5分钟,15分钟"</formula1>
    </dataValidation>
    <dataValidation type="list" allowBlank="1" showErrorMessage="1" errorTitle="错误提示" error="请输入下拉列表中的一个值" sqref="M2:M37" xr:uid="{71A906A2-CBB2-4D72-AAFC-B2450BB5439D}">
      <formula1>"&gt;,&lt;,≥,≤"</formula1>
    </dataValidation>
    <dataValidation type="list" allowBlank="1" showErrorMessage="1" errorTitle="错误提示" error="请输入下拉列表中的一个值" sqref="Q2:Q37" xr:uid="{E083D26A-87D7-402A-BEF1-EFE999EF6D33}">
      <formula1>"每小时,每天,每周,固定间隔,CRON"</formula1>
    </dataValidation>
    <dataValidation type="list" allowBlank="1" showErrorMessage="1" errorTitle="错误提示" error="请输入下拉列表中的一个值" sqref="T2:T37" xr:uid="{6738C227-63BE-4E98-A006-3E4187906CF1}">
      <formula1>"1,2,3,4,5"</formula1>
    </dataValidation>
    <dataValidation type="list" errorStyle="information" allowBlank="1" showErrorMessage="1" errorTitle="错误提示" error="请输入下拉列表中的一个值" sqref="U2:U37" xr:uid="{48306482-D92F-4CFD-858A-12B991500E6A}">
      <formula1>"超限阈值并发送告警,数据不足并发送事件,保持上一状态,正常并发送清除告警"</formula1>
    </dataValidation>
    <dataValidation type="list" errorStyle="information" allowBlank="1" showErrorMessage="1" errorTitle="错误提示" error="请输入下拉列表中的一个值" sqref="V1:V37" xr:uid="{C7F5FBA7-3E33-4364-B5AE-1FF72F4A44F1}">
      <formula1>"资源稳定,性能高效,架构优化,安全稳固,成本精益"</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1A36-152F-4CE6-8CAC-41BB08061E98}">
  <dimension ref="A1:O13"/>
  <sheetViews>
    <sheetView tabSelected="1" workbookViewId="0">
      <selection activeCell="I7" sqref="I7"/>
    </sheetView>
  </sheetViews>
  <sheetFormatPr defaultRowHeight="14" x14ac:dyDescent="0.25"/>
  <cols>
    <col min="4" max="4" width="13.81640625" customWidth="1"/>
    <col min="5" max="5" width="14.08984375" customWidth="1"/>
    <col min="7" max="7" width="13.6328125" customWidth="1"/>
    <col min="8" max="8" width="15.7265625" customWidth="1"/>
    <col min="9" max="9" width="25.08984375" customWidth="1"/>
  </cols>
  <sheetData>
    <row r="1" spans="1:15" ht="40.5" x14ac:dyDescent="0.25">
      <c r="A1" s="67" t="s">
        <v>2024</v>
      </c>
      <c r="B1" s="67" t="s">
        <v>5</v>
      </c>
      <c r="C1" s="67" t="s">
        <v>6</v>
      </c>
      <c r="D1" s="67" t="s">
        <v>7</v>
      </c>
      <c r="E1" s="67" t="s">
        <v>8</v>
      </c>
      <c r="F1" s="67" t="s">
        <v>2025</v>
      </c>
      <c r="G1" s="68" t="s">
        <v>14</v>
      </c>
      <c r="H1" s="69" t="s">
        <v>2027</v>
      </c>
      <c r="I1" s="69" t="s">
        <v>2028</v>
      </c>
      <c r="J1" s="69" t="s">
        <v>1485</v>
      </c>
      <c r="K1" s="69" t="s">
        <v>2029</v>
      </c>
      <c r="L1" s="69" t="s">
        <v>2030</v>
      </c>
      <c r="M1" s="69" t="s">
        <v>2031</v>
      </c>
      <c r="N1" s="69" t="s">
        <v>2032</v>
      </c>
      <c r="O1" s="69" t="s">
        <v>2216</v>
      </c>
    </row>
    <row r="2" spans="1:15" ht="46" x14ac:dyDescent="0.25">
      <c r="A2" s="70" t="s">
        <v>2019</v>
      </c>
      <c r="B2" s="70" t="s">
        <v>2217</v>
      </c>
      <c r="C2" s="71" t="s">
        <v>2218</v>
      </c>
      <c r="D2" s="71" t="s">
        <v>2219</v>
      </c>
      <c r="E2" s="71" t="s">
        <v>2220</v>
      </c>
      <c r="F2" s="70" t="s">
        <v>2038</v>
      </c>
      <c r="G2" s="72" t="s">
        <v>59</v>
      </c>
      <c r="H2" s="73" t="s">
        <v>2218</v>
      </c>
      <c r="I2" s="72" t="s">
        <v>2221</v>
      </c>
      <c r="J2" s="72" t="s">
        <v>1499</v>
      </c>
      <c r="K2" s="72" t="s">
        <v>2038</v>
      </c>
      <c r="L2" s="72" t="s">
        <v>2038</v>
      </c>
      <c r="M2" s="72" t="s">
        <v>2042</v>
      </c>
      <c r="N2" s="74"/>
      <c r="O2" s="74"/>
    </row>
    <row r="3" spans="1:15" ht="23" x14ac:dyDescent="0.25">
      <c r="A3" s="70" t="s">
        <v>2019</v>
      </c>
      <c r="B3" s="70" t="s">
        <v>2217</v>
      </c>
      <c r="C3" s="71" t="s">
        <v>2222</v>
      </c>
      <c r="D3" s="71" t="s">
        <v>2223</v>
      </c>
      <c r="E3" s="71" t="s">
        <v>2224</v>
      </c>
      <c r="F3" s="70" t="s">
        <v>2038</v>
      </c>
      <c r="G3" s="72" t="s">
        <v>59</v>
      </c>
      <c r="H3" s="73" t="s">
        <v>2222</v>
      </c>
      <c r="I3" s="72" t="s">
        <v>2225</v>
      </c>
      <c r="J3" s="72" t="s">
        <v>1499</v>
      </c>
      <c r="K3" s="72" t="s">
        <v>2038</v>
      </c>
      <c r="L3" s="72" t="s">
        <v>2038</v>
      </c>
      <c r="M3" s="72" t="s">
        <v>2042</v>
      </c>
      <c r="N3" s="74"/>
      <c r="O3" s="74"/>
    </row>
    <row r="4" spans="1:15" ht="34.5" x14ac:dyDescent="0.25">
      <c r="A4" s="70" t="s">
        <v>2019</v>
      </c>
      <c r="B4" s="70" t="s">
        <v>2217</v>
      </c>
      <c r="C4" s="71" t="s">
        <v>2226</v>
      </c>
      <c r="D4" s="71" t="s">
        <v>2227</v>
      </c>
      <c r="E4" s="71" t="s">
        <v>2228</v>
      </c>
      <c r="F4" s="70" t="s">
        <v>2038</v>
      </c>
      <c r="G4" s="72" t="s">
        <v>59</v>
      </c>
      <c r="H4" s="73" t="s">
        <v>2226</v>
      </c>
      <c r="I4" s="72" t="s">
        <v>2229</v>
      </c>
      <c r="J4" s="72" t="s">
        <v>1499</v>
      </c>
      <c r="K4" s="72" t="s">
        <v>2038</v>
      </c>
      <c r="L4" s="72" t="s">
        <v>2038</v>
      </c>
      <c r="M4" s="72" t="s">
        <v>2042</v>
      </c>
      <c r="N4" s="74"/>
      <c r="O4" s="74"/>
    </row>
    <row r="5" spans="1:15" ht="46" x14ac:dyDescent="0.25">
      <c r="A5" s="70" t="s">
        <v>2019</v>
      </c>
      <c r="B5" s="70" t="s">
        <v>2217</v>
      </c>
      <c r="C5" s="71" t="s">
        <v>2230</v>
      </c>
      <c r="D5" s="71" t="s">
        <v>2231</v>
      </c>
      <c r="E5" s="71" t="s">
        <v>2232</v>
      </c>
      <c r="F5" s="70" t="s">
        <v>2038</v>
      </c>
      <c r="G5" s="72" t="s">
        <v>59</v>
      </c>
      <c r="H5" s="73" t="s">
        <v>2230</v>
      </c>
      <c r="I5" s="72" t="s">
        <v>2233</v>
      </c>
      <c r="J5" s="72" t="s">
        <v>1499</v>
      </c>
      <c r="K5" s="72" t="s">
        <v>2038</v>
      </c>
      <c r="L5" s="72" t="s">
        <v>2038</v>
      </c>
      <c r="M5" s="72" t="s">
        <v>2042</v>
      </c>
      <c r="N5" s="74"/>
      <c r="O5" s="74"/>
    </row>
    <row r="6" spans="1:15" ht="34.5" x14ac:dyDescent="0.25">
      <c r="A6" s="70" t="s">
        <v>2019</v>
      </c>
      <c r="B6" s="70" t="s">
        <v>2217</v>
      </c>
      <c r="C6" s="71" t="s">
        <v>2234</v>
      </c>
      <c r="D6" s="71" t="s">
        <v>2235</v>
      </c>
      <c r="E6" s="71" t="s">
        <v>2236</v>
      </c>
      <c r="F6" s="70" t="s">
        <v>2038</v>
      </c>
      <c r="G6" s="72" t="s">
        <v>59</v>
      </c>
      <c r="H6" s="73" t="s">
        <v>2234</v>
      </c>
      <c r="I6" s="72" t="s">
        <v>2237</v>
      </c>
      <c r="J6" s="72" t="s">
        <v>1499</v>
      </c>
      <c r="K6" s="72" t="s">
        <v>2038</v>
      </c>
      <c r="L6" s="72" t="s">
        <v>2038</v>
      </c>
      <c r="M6" s="72" t="s">
        <v>2042</v>
      </c>
      <c r="N6" s="74"/>
      <c r="O6" s="74"/>
    </row>
    <row r="7" spans="1:15" ht="34.5" x14ac:dyDescent="0.25">
      <c r="A7" s="70" t="s">
        <v>2019</v>
      </c>
      <c r="B7" s="70" t="s">
        <v>2217</v>
      </c>
      <c r="C7" s="71" t="s">
        <v>2238</v>
      </c>
      <c r="D7" s="71" t="s">
        <v>2239</v>
      </c>
      <c r="E7" s="71" t="s">
        <v>2240</v>
      </c>
      <c r="F7" s="70" t="s">
        <v>2038</v>
      </c>
      <c r="G7" s="72" t="s">
        <v>59</v>
      </c>
      <c r="H7" s="73" t="s">
        <v>2238</v>
      </c>
      <c r="I7" s="72" t="s">
        <v>2241</v>
      </c>
      <c r="J7" s="72" t="s">
        <v>1499</v>
      </c>
      <c r="K7" s="72" t="s">
        <v>2038</v>
      </c>
      <c r="L7" s="72" t="s">
        <v>2038</v>
      </c>
      <c r="M7" s="72" t="s">
        <v>2042</v>
      </c>
      <c r="N7" s="74"/>
      <c r="O7" s="74"/>
    </row>
    <row r="8" spans="1:15" ht="23" x14ac:dyDescent="0.25">
      <c r="A8" s="70" t="s">
        <v>2019</v>
      </c>
      <c r="B8" s="70" t="s">
        <v>2242</v>
      </c>
      <c r="C8" s="75" t="s">
        <v>2243</v>
      </c>
      <c r="D8" s="75" t="s">
        <v>2244</v>
      </c>
      <c r="E8" s="75" t="s">
        <v>2243</v>
      </c>
      <c r="F8" s="70" t="s">
        <v>2038</v>
      </c>
      <c r="G8" s="72" t="s">
        <v>59</v>
      </c>
      <c r="H8" s="76" t="s">
        <v>2243</v>
      </c>
      <c r="I8" s="72" t="s">
        <v>2245</v>
      </c>
      <c r="J8" s="72" t="s">
        <v>1499</v>
      </c>
      <c r="K8" s="72" t="s">
        <v>2038</v>
      </c>
      <c r="L8" s="72" t="s">
        <v>2038</v>
      </c>
      <c r="M8" s="72" t="s">
        <v>2042</v>
      </c>
      <c r="N8" s="74"/>
      <c r="O8" s="74"/>
    </row>
    <row r="9" spans="1:15" ht="34.5" x14ac:dyDescent="0.25">
      <c r="A9" s="70" t="s">
        <v>2019</v>
      </c>
      <c r="B9" s="70" t="s">
        <v>2242</v>
      </c>
      <c r="C9" s="75" t="s">
        <v>2246</v>
      </c>
      <c r="D9" s="75" t="s">
        <v>2247</v>
      </c>
      <c r="E9" s="75" t="s">
        <v>2246</v>
      </c>
      <c r="F9" s="70" t="s">
        <v>2038</v>
      </c>
      <c r="G9" s="72" t="s">
        <v>59</v>
      </c>
      <c r="H9" s="76" t="s">
        <v>2246</v>
      </c>
      <c r="I9" s="72" t="s">
        <v>2248</v>
      </c>
      <c r="J9" s="72" t="s">
        <v>1499</v>
      </c>
      <c r="K9" s="72" t="s">
        <v>2038</v>
      </c>
      <c r="L9" s="72" t="s">
        <v>2038</v>
      </c>
      <c r="M9" s="72" t="s">
        <v>2042</v>
      </c>
      <c r="N9" s="74"/>
      <c r="O9" s="74"/>
    </row>
    <row r="10" spans="1:15" ht="23" x14ac:dyDescent="0.25">
      <c r="A10" s="70" t="s">
        <v>2019</v>
      </c>
      <c r="B10" s="70" t="s">
        <v>2242</v>
      </c>
      <c r="C10" s="75" t="s">
        <v>2249</v>
      </c>
      <c r="D10" s="75" t="s">
        <v>2250</v>
      </c>
      <c r="E10" s="75" t="s">
        <v>2249</v>
      </c>
      <c r="F10" s="70" t="s">
        <v>2038</v>
      </c>
      <c r="G10" s="72" t="s">
        <v>59</v>
      </c>
      <c r="H10" s="76" t="s">
        <v>2249</v>
      </c>
      <c r="I10" s="72" t="s">
        <v>2251</v>
      </c>
      <c r="J10" s="72" t="s">
        <v>1499</v>
      </c>
      <c r="K10" s="72" t="s">
        <v>2038</v>
      </c>
      <c r="L10" s="72" t="s">
        <v>2038</v>
      </c>
      <c r="M10" s="72" t="s">
        <v>2042</v>
      </c>
      <c r="N10" s="74"/>
      <c r="O10" s="74"/>
    </row>
    <row r="11" spans="1:15" ht="23" x14ac:dyDescent="0.25">
      <c r="A11" s="70" t="s">
        <v>2019</v>
      </c>
      <c r="B11" s="70" t="s">
        <v>2242</v>
      </c>
      <c r="C11" s="75" t="s">
        <v>2252</v>
      </c>
      <c r="D11" s="75" t="s">
        <v>2253</v>
      </c>
      <c r="E11" s="75" t="s">
        <v>2252</v>
      </c>
      <c r="F11" s="70" t="s">
        <v>2038</v>
      </c>
      <c r="G11" s="72" t="s">
        <v>59</v>
      </c>
      <c r="H11" s="76" t="s">
        <v>2252</v>
      </c>
      <c r="I11" s="72" t="s">
        <v>2254</v>
      </c>
      <c r="J11" s="72" t="s">
        <v>1499</v>
      </c>
      <c r="K11" s="72" t="s">
        <v>2038</v>
      </c>
      <c r="L11" s="72" t="s">
        <v>2038</v>
      </c>
      <c r="M11" s="72" t="s">
        <v>2042</v>
      </c>
      <c r="N11" s="74"/>
      <c r="O11" s="74"/>
    </row>
    <row r="12" spans="1:15" ht="23" x14ac:dyDescent="0.25">
      <c r="A12" s="70" t="s">
        <v>2019</v>
      </c>
      <c r="B12" s="70" t="s">
        <v>2242</v>
      </c>
      <c r="C12" s="75" t="s">
        <v>2255</v>
      </c>
      <c r="D12" s="75" t="s">
        <v>2256</v>
      </c>
      <c r="E12" s="75" t="s">
        <v>2255</v>
      </c>
      <c r="F12" s="70" t="s">
        <v>2038</v>
      </c>
      <c r="G12" s="72" t="s">
        <v>59</v>
      </c>
      <c r="H12" s="76" t="s">
        <v>2255</v>
      </c>
      <c r="I12" s="72" t="s">
        <v>2257</v>
      </c>
      <c r="J12" s="72" t="s">
        <v>1499</v>
      </c>
      <c r="K12" s="72" t="s">
        <v>2038</v>
      </c>
      <c r="L12" s="72" t="s">
        <v>2038</v>
      </c>
      <c r="M12" s="72" t="s">
        <v>2042</v>
      </c>
      <c r="N12" s="74"/>
      <c r="O12" s="74"/>
    </row>
    <row r="13" spans="1:15" ht="23" x14ac:dyDescent="0.25">
      <c r="A13" s="70" t="s">
        <v>2019</v>
      </c>
      <c r="B13" s="70" t="s">
        <v>2242</v>
      </c>
      <c r="C13" s="75" t="s">
        <v>2258</v>
      </c>
      <c r="D13" s="75" t="s">
        <v>2259</v>
      </c>
      <c r="E13" s="75" t="s">
        <v>2258</v>
      </c>
      <c r="F13" s="70" t="s">
        <v>2038</v>
      </c>
      <c r="G13" s="72" t="s">
        <v>59</v>
      </c>
      <c r="H13" s="76" t="s">
        <v>2258</v>
      </c>
      <c r="I13" s="72" t="s">
        <v>2260</v>
      </c>
      <c r="J13" s="72" t="s">
        <v>1499</v>
      </c>
      <c r="K13" s="72" t="s">
        <v>2038</v>
      </c>
      <c r="L13" s="72" t="s">
        <v>2038</v>
      </c>
      <c r="M13" s="72" t="s">
        <v>2042</v>
      </c>
      <c r="N13" s="74"/>
      <c r="O13" s="74"/>
    </row>
  </sheetData>
  <autoFilter ref="A1:O13" xr:uid="{E95F1A36-152F-4CE6-8CAC-41BB08061E98}"/>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5956-74D9-4460-A268-6DF6AA4EDEDB}">
  <dimension ref="A1:M16"/>
  <sheetViews>
    <sheetView workbookViewId="0">
      <selection activeCell="J19" sqref="J19"/>
    </sheetView>
  </sheetViews>
  <sheetFormatPr defaultRowHeight="14" x14ac:dyDescent="0.25"/>
  <cols>
    <col min="3" max="3" width="21.81640625" customWidth="1"/>
    <col min="4" max="4" width="29.6328125" customWidth="1"/>
    <col min="5" max="5" width="39.6328125" customWidth="1"/>
    <col min="7" max="7" width="15.453125" customWidth="1"/>
  </cols>
  <sheetData>
    <row r="1" spans="1:13" x14ac:dyDescent="0.25">
      <c r="A1" s="77" t="s">
        <v>0</v>
      </c>
      <c r="B1" s="78" t="s">
        <v>3</v>
      </c>
      <c r="C1" s="78" t="s">
        <v>1480</v>
      </c>
      <c r="D1" s="78" t="s">
        <v>1479</v>
      </c>
      <c r="E1" s="78" t="s">
        <v>2261</v>
      </c>
      <c r="F1" s="79" t="s">
        <v>13</v>
      </c>
      <c r="G1" s="79" t="s">
        <v>1484</v>
      </c>
      <c r="H1" s="79" t="s">
        <v>2262</v>
      </c>
      <c r="I1" s="79" t="s">
        <v>2263</v>
      </c>
      <c r="J1" s="79" t="s">
        <v>2264</v>
      </c>
      <c r="K1" s="79" t="s">
        <v>2265</v>
      </c>
      <c r="L1" s="79" t="s">
        <v>1485</v>
      </c>
      <c r="M1" s="80" t="s">
        <v>34</v>
      </c>
    </row>
    <row r="2" spans="1:13" ht="14.5" x14ac:dyDescent="0.3">
      <c r="A2" s="70">
        <v>6</v>
      </c>
      <c r="B2" s="70" t="s">
        <v>2196</v>
      </c>
      <c r="C2" s="70" t="s">
        <v>2266</v>
      </c>
      <c r="D2" s="70" t="s">
        <v>2267</v>
      </c>
      <c r="E2" s="72" t="s">
        <v>2268</v>
      </c>
      <c r="F2" s="72" t="s">
        <v>55</v>
      </c>
      <c r="G2" s="81" t="s">
        <v>1498</v>
      </c>
      <c r="H2" s="81" t="s">
        <v>2269</v>
      </c>
      <c r="I2" s="81"/>
      <c r="J2" s="81"/>
      <c r="K2" s="81"/>
      <c r="L2" s="81" t="s">
        <v>1499</v>
      </c>
      <c r="M2" s="10"/>
    </row>
    <row r="3" spans="1:13" ht="14.5" x14ac:dyDescent="0.3">
      <c r="A3" s="70">
        <v>22</v>
      </c>
      <c r="B3" s="70" t="s">
        <v>2196</v>
      </c>
      <c r="C3" s="70" t="s">
        <v>2270</v>
      </c>
      <c r="D3" s="70" t="s">
        <v>2271</v>
      </c>
      <c r="E3" s="72" t="s">
        <v>2272</v>
      </c>
      <c r="F3" s="72" t="s">
        <v>55</v>
      </c>
      <c r="G3" s="81" t="s">
        <v>1498</v>
      </c>
      <c r="H3" s="81" t="s">
        <v>2269</v>
      </c>
      <c r="I3" s="81"/>
      <c r="J3" s="81"/>
      <c r="K3" s="81"/>
      <c r="L3" s="81" t="s">
        <v>1499</v>
      </c>
      <c r="M3" s="10"/>
    </row>
    <row r="4" spans="1:13" ht="14.5" x14ac:dyDescent="0.3">
      <c r="A4" s="70">
        <v>24</v>
      </c>
      <c r="B4" s="70" t="s">
        <v>2196</v>
      </c>
      <c r="C4" s="70" t="s">
        <v>2273</v>
      </c>
      <c r="D4" s="70" t="s">
        <v>2274</v>
      </c>
      <c r="E4" s="72" t="s">
        <v>2275</v>
      </c>
      <c r="F4" s="72" t="s">
        <v>55</v>
      </c>
      <c r="G4" s="81" t="s">
        <v>1498</v>
      </c>
      <c r="H4" s="81" t="s">
        <v>2269</v>
      </c>
      <c r="I4" s="81"/>
      <c r="J4" s="81"/>
      <c r="K4" s="81"/>
      <c r="L4" s="81" t="s">
        <v>1499</v>
      </c>
      <c r="M4" s="10"/>
    </row>
    <row r="5" spans="1:13" ht="14.5" x14ac:dyDescent="0.3">
      <c r="A5" s="70">
        <v>25</v>
      </c>
      <c r="B5" s="70" t="s">
        <v>2196</v>
      </c>
      <c r="C5" s="70" t="s">
        <v>2276</v>
      </c>
      <c r="D5" s="70" t="s">
        <v>2277</v>
      </c>
      <c r="E5" s="72" t="s">
        <v>2278</v>
      </c>
      <c r="F5" s="72" t="s">
        <v>55</v>
      </c>
      <c r="G5" s="81" t="s">
        <v>1498</v>
      </c>
      <c r="H5" s="81" t="s">
        <v>2269</v>
      </c>
      <c r="I5" s="81"/>
      <c r="J5" s="81"/>
      <c r="K5" s="81"/>
      <c r="L5" s="81" t="s">
        <v>1499</v>
      </c>
      <c r="M5" s="10"/>
    </row>
    <row r="6" spans="1:13" ht="14.5" x14ac:dyDescent="0.3">
      <c r="A6" s="70">
        <v>30</v>
      </c>
      <c r="B6" s="70" t="s">
        <v>2196</v>
      </c>
      <c r="C6" s="70" t="s">
        <v>2279</v>
      </c>
      <c r="D6" s="70" t="s">
        <v>2280</v>
      </c>
      <c r="E6" s="72" t="s">
        <v>2281</v>
      </c>
      <c r="F6" s="72" t="s">
        <v>55</v>
      </c>
      <c r="G6" s="81" t="s">
        <v>1498</v>
      </c>
      <c r="H6" s="81" t="s">
        <v>2269</v>
      </c>
      <c r="I6" s="81"/>
      <c r="J6" s="81"/>
      <c r="K6" s="81"/>
      <c r="L6" s="81" t="s">
        <v>1499</v>
      </c>
      <c r="M6" s="10"/>
    </row>
    <row r="7" spans="1:13" ht="14.5" x14ac:dyDescent="0.3">
      <c r="A7" s="70">
        <v>36</v>
      </c>
      <c r="B7" s="70" t="s">
        <v>2196</v>
      </c>
      <c r="C7" s="70" t="s">
        <v>2282</v>
      </c>
      <c r="D7" s="70" t="s">
        <v>2283</v>
      </c>
      <c r="E7" s="72" t="s">
        <v>2284</v>
      </c>
      <c r="F7" s="72" t="s">
        <v>55</v>
      </c>
      <c r="G7" s="81" t="s">
        <v>1498</v>
      </c>
      <c r="H7" s="81" t="s">
        <v>2269</v>
      </c>
      <c r="I7" s="81"/>
      <c r="J7" s="81"/>
      <c r="K7" s="81"/>
      <c r="L7" s="81" t="s">
        <v>1499</v>
      </c>
      <c r="M7" s="10"/>
    </row>
    <row r="8" spans="1:13" ht="14.5" x14ac:dyDescent="0.3">
      <c r="A8" s="70">
        <v>37</v>
      </c>
      <c r="B8" s="70" t="s">
        <v>2196</v>
      </c>
      <c r="C8" s="70" t="s">
        <v>2285</v>
      </c>
      <c r="D8" s="70" t="s">
        <v>2286</v>
      </c>
      <c r="E8" s="72" t="s">
        <v>2287</v>
      </c>
      <c r="F8" s="72" t="s">
        <v>55</v>
      </c>
      <c r="G8" s="81" t="s">
        <v>1498</v>
      </c>
      <c r="H8" s="81" t="s">
        <v>2269</v>
      </c>
      <c r="I8" s="81"/>
      <c r="J8" s="81"/>
      <c r="K8" s="81"/>
      <c r="L8" s="81" t="s">
        <v>1499</v>
      </c>
      <c r="M8" s="10"/>
    </row>
    <row r="9" spans="1:13" ht="14.5" x14ac:dyDescent="0.3">
      <c r="A9" s="70">
        <v>244</v>
      </c>
      <c r="B9" s="70" t="s">
        <v>2143</v>
      </c>
      <c r="C9" s="70" t="s">
        <v>2288</v>
      </c>
      <c r="D9" s="70" t="s">
        <v>2289</v>
      </c>
      <c r="E9" s="70" t="s">
        <v>2290</v>
      </c>
      <c r="F9" s="82" t="s">
        <v>55</v>
      </c>
      <c r="G9" s="82" t="s">
        <v>1498</v>
      </c>
      <c r="H9" s="81" t="s">
        <v>2269</v>
      </c>
      <c r="I9" s="83" t="s">
        <v>2291</v>
      </c>
      <c r="J9" s="83" t="s">
        <v>2291</v>
      </c>
      <c r="K9" s="83" t="s">
        <v>2291</v>
      </c>
      <c r="L9" s="83" t="s">
        <v>1499</v>
      </c>
      <c r="M9" s="10"/>
    </row>
    <row r="10" spans="1:13" ht="14.5" x14ac:dyDescent="0.3">
      <c r="A10" s="70">
        <v>245</v>
      </c>
      <c r="B10" s="70" t="s">
        <v>2143</v>
      </c>
      <c r="C10" s="70" t="s">
        <v>2292</v>
      </c>
      <c r="D10" s="70" t="s">
        <v>2293</v>
      </c>
      <c r="E10" s="70" t="s">
        <v>2294</v>
      </c>
      <c r="F10" s="82" t="s">
        <v>55</v>
      </c>
      <c r="G10" s="82" t="s">
        <v>1498</v>
      </c>
      <c r="H10" s="81" t="s">
        <v>2269</v>
      </c>
      <c r="I10" s="83" t="s">
        <v>2291</v>
      </c>
      <c r="J10" s="83" t="s">
        <v>2291</v>
      </c>
      <c r="K10" s="83" t="s">
        <v>2291</v>
      </c>
      <c r="L10" s="83" t="s">
        <v>1499</v>
      </c>
      <c r="M10" s="10"/>
    </row>
    <row r="11" spans="1:13" ht="14.5" x14ac:dyDescent="0.3">
      <c r="A11" s="70">
        <v>246</v>
      </c>
      <c r="B11" s="70" t="s">
        <v>2143</v>
      </c>
      <c r="C11" s="70" t="s">
        <v>2295</v>
      </c>
      <c r="D11" s="70" t="s">
        <v>2296</v>
      </c>
      <c r="E11" s="70" t="s">
        <v>2297</v>
      </c>
      <c r="F11" s="82" t="s">
        <v>55</v>
      </c>
      <c r="G11" s="82" t="s">
        <v>1498</v>
      </c>
      <c r="H11" s="81" t="s">
        <v>2269</v>
      </c>
      <c r="I11" s="83" t="s">
        <v>2291</v>
      </c>
      <c r="J11" s="83" t="s">
        <v>2291</v>
      </c>
      <c r="K11" s="83" t="s">
        <v>2291</v>
      </c>
      <c r="L11" s="83" t="s">
        <v>1499</v>
      </c>
      <c r="M11" s="10"/>
    </row>
    <row r="12" spans="1:13" ht="14.5" x14ac:dyDescent="0.3">
      <c r="A12" s="70">
        <v>247</v>
      </c>
      <c r="B12" s="70" t="s">
        <v>2143</v>
      </c>
      <c r="C12" s="70" t="s">
        <v>2298</v>
      </c>
      <c r="D12" s="70" t="s">
        <v>2299</v>
      </c>
      <c r="E12" s="70" t="s">
        <v>2300</v>
      </c>
      <c r="F12" s="82" t="s">
        <v>55</v>
      </c>
      <c r="G12" s="82" t="s">
        <v>1498</v>
      </c>
      <c r="H12" s="81" t="s">
        <v>2269</v>
      </c>
      <c r="I12" s="83" t="s">
        <v>2291</v>
      </c>
      <c r="J12" s="83" t="s">
        <v>2291</v>
      </c>
      <c r="K12" s="83" t="s">
        <v>2291</v>
      </c>
      <c r="L12" s="83" t="s">
        <v>1499</v>
      </c>
      <c r="M12" s="10"/>
    </row>
    <row r="13" spans="1:13" ht="14.5" x14ac:dyDescent="0.3">
      <c r="A13" s="70">
        <v>248</v>
      </c>
      <c r="B13" s="70" t="s">
        <v>2143</v>
      </c>
      <c r="C13" s="70" t="s">
        <v>2301</v>
      </c>
      <c r="D13" s="70" t="s">
        <v>2302</v>
      </c>
      <c r="E13" s="70" t="s">
        <v>2303</v>
      </c>
      <c r="F13" s="82" t="s">
        <v>55</v>
      </c>
      <c r="G13" s="82" t="s">
        <v>1498</v>
      </c>
      <c r="H13" s="81" t="s">
        <v>2269</v>
      </c>
      <c r="I13" s="83" t="s">
        <v>2291</v>
      </c>
      <c r="J13" s="83" t="s">
        <v>2291</v>
      </c>
      <c r="K13" s="83" t="s">
        <v>2291</v>
      </c>
      <c r="L13" s="83" t="s">
        <v>1499</v>
      </c>
      <c r="M13" s="10"/>
    </row>
    <row r="14" spans="1:13" ht="14.5" x14ac:dyDescent="0.3">
      <c r="A14" s="70">
        <v>249</v>
      </c>
      <c r="B14" s="70" t="s">
        <v>2143</v>
      </c>
      <c r="C14" s="70" t="s">
        <v>2304</v>
      </c>
      <c r="D14" s="70" t="s">
        <v>2305</v>
      </c>
      <c r="E14" s="70" t="s">
        <v>2306</v>
      </c>
      <c r="F14" s="82" t="s">
        <v>55</v>
      </c>
      <c r="G14" s="82" t="s">
        <v>1498</v>
      </c>
      <c r="H14" s="81" t="s">
        <v>2269</v>
      </c>
      <c r="I14" s="83" t="s">
        <v>2291</v>
      </c>
      <c r="J14" s="83" t="s">
        <v>2291</v>
      </c>
      <c r="K14" s="83" t="s">
        <v>2291</v>
      </c>
      <c r="L14" s="83" t="s">
        <v>1499</v>
      </c>
      <c r="M14" s="10"/>
    </row>
    <row r="15" spans="1:13" ht="14.5" x14ac:dyDescent="0.3">
      <c r="A15" s="70">
        <v>250</v>
      </c>
      <c r="B15" s="70" t="s">
        <v>2143</v>
      </c>
      <c r="C15" s="70" t="s">
        <v>2307</v>
      </c>
      <c r="D15" s="70" t="s">
        <v>2308</v>
      </c>
      <c r="E15" s="70" t="s">
        <v>2309</v>
      </c>
      <c r="F15" s="82" t="s">
        <v>55</v>
      </c>
      <c r="G15" s="82" t="s">
        <v>1498</v>
      </c>
      <c r="H15" s="81" t="s">
        <v>2269</v>
      </c>
      <c r="I15" s="83" t="s">
        <v>2291</v>
      </c>
      <c r="J15" s="83" t="s">
        <v>2291</v>
      </c>
      <c r="K15" s="83" t="s">
        <v>2291</v>
      </c>
      <c r="L15" s="83" t="s">
        <v>1499</v>
      </c>
      <c r="M15" s="10"/>
    </row>
    <row r="16" spans="1:13" ht="14.5" x14ac:dyDescent="0.3">
      <c r="A16" s="70">
        <v>251</v>
      </c>
      <c r="B16" s="70" t="s">
        <v>2143</v>
      </c>
      <c r="C16" s="70" t="s">
        <v>2310</v>
      </c>
      <c r="D16" s="70" t="s">
        <v>2311</v>
      </c>
      <c r="E16" s="70" t="s">
        <v>2312</v>
      </c>
      <c r="F16" s="82" t="s">
        <v>55</v>
      </c>
      <c r="G16" s="82" t="s">
        <v>1498</v>
      </c>
      <c r="H16" s="81" t="s">
        <v>2269</v>
      </c>
      <c r="I16" s="83" t="s">
        <v>2291</v>
      </c>
      <c r="J16" s="83" t="s">
        <v>2291</v>
      </c>
      <c r="K16" s="83" t="s">
        <v>2291</v>
      </c>
      <c r="L16" s="83" t="s">
        <v>1499</v>
      </c>
      <c r="M16" s="10"/>
    </row>
  </sheetData>
  <autoFilter ref="A1:M16" xr:uid="{69355956-74D9-4460-A268-6DF6AA4EDEDB}"/>
  <phoneticPr fontId="1" type="noConversion"/>
  <dataValidations count="6">
    <dataValidation type="list" allowBlank="1" showErrorMessage="1" errorTitle="错误提示" error="请输入下拉列表中的一个值" sqref="G1:G16" xr:uid="{14ABEE29-D3D4-413C-B617-31BAD10BBEA1}">
      <formula1>"底线事件"</formula1>
    </dataValidation>
    <dataValidation type="whole" allowBlank="1" showErrorMessage="1" errorTitle="错误提示" error="请输入一个整数：数字介于 1 至 100 之间" sqref="J1:J16" xr:uid="{70DD4F41-2FC5-4622-8022-81731038EBD7}">
      <formula1>1</formula1>
      <formula2>100</formula2>
    </dataValidation>
    <dataValidation type="list" errorStyle="information" allowBlank="1" showErrorMessage="1" errorTitle="错误提示" error="请输入下拉列表中的一个值" sqref="M1:M16" xr:uid="{9B7B2BEE-9276-4B23-8957-BB49EE6E52CE}">
      <formula1>"资源稳定,性能高效,架构优化,安全稳固,成本精益"</formula1>
    </dataValidation>
    <dataValidation type="list" allowBlank="1" showErrorMessage="1" errorTitle="错误提示" error="请输入下拉列表中的一个值" sqref="K1:K16" xr:uid="{C3E49C7F-AC2E-41B6-9FD4-586A6D40B9D0}">
      <formula1>"N/A,只告警一次,每5分钟,每10分钟,每15分钟,每30分钟,每1小时,每3小时,每6小时,每12小时,每天"</formula1>
    </dataValidation>
    <dataValidation type="list" allowBlank="1" showErrorMessage="1" errorTitle="错误提示" error="请输入下拉列表中的一个值" sqref="L1:L16" xr:uid="{24B74645-5818-45B0-ABE2-4A7B06A68AC2}">
      <formula1>"紧急,重要,次要,提示"</formula1>
    </dataValidation>
    <dataValidation type="list" allowBlank="1" showErrorMessage="1" errorTitle="错误提示" error="请输入下拉列表中的一个值" sqref="H1:H16" xr:uid="{29ACBF3B-98E2-4FBB-9576-33592CB0A836}">
      <formula1>"立即触发,累计触发"</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CES指标基线</vt:lpstr>
      <vt:lpstr>CES事件基线</vt:lpstr>
      <vt:lpstr>AOM指标基线-CCE</vt:lpstr>
      <vt:lpstr>AOM指标基线-其他服务</vt:lpstr>
      <vt:lpstr>AOM-Modelarts事件</vt:lpstr>
      <vt:lpstr>AOM事件基线-其他服务</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wangjiang (G)</dc:creator>
  <cp:lastModifiedBy>wangjiang (G)</cp:lastModifiedBy>
  <cp:lastPrinted>2006-01-19T03:50:08Z</cp:lastPrinted>
  <dcterms:created xsi:type="dcterms:W3CDTF">2003-11-11T03:59:45Z</dcterms:created>
  <dcterms:modified xsi:type="dcterms:W3CDTF">2026-10-19T01:42:07Z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(3)7k0Wgumv+G8HLbA/EmpctOuOLSAHxuGn5NVogbjpfsfc2UM9gT+EQEgmHV5Yy73Q7B8MkEdY
JIUT41af0DGKNev13jxAqoBfHH0RovS5pPwuLtnZ8AdppF3w+oNtHAhtUqJDLjdF4kcx040p
NRj+Dxy0HyEdoKrIiJsAnEdlkqUE1zP1xjTCqpnR5Xp1pqCIxNb8fgcsZ5Tr7l9m7SxNWxTp
URMbv297cRos0hDto0</vt:lpwstr>
  </property>
  <property fmtid="{D5CDD505-2E9C-101B-9397-08002B2CF9AE}" pid="7" name="_2015_ms_pID_7253431">
    <vt:lpwstr>G2vArXhbty1134Lpuu5JjZxCuA58FGtnM9RtnchE3UrTI+QPZU4s3K
lPyNjn+Oqnnh2B4ky1UQ6k/b6wEYsQsENo7PJPqKaEFZTFFmDoDdaxIuS43izpTJnN2pjcAe
s5WuaJrYZf+Um96WGNcHWPXmlGvSzRnDiPK+GpbtVG3Cg91jMxfGTl5fyTaOLSOIzPgS3Dc2
Kr7SQUXO1M3mhwQuEj9OrGfBlhjYWkgOZ8Eg</vt:lpwstr>
  </property>
  <property fmtid="{D5CDD505-2E9C-101B-9397-08002B2CF9AE}" pid="8" name="_2015_ms_pID_7253432">
    <vt:lpwstr>5w==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ies>
</file>